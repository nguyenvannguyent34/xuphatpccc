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334d56c47349e4dc/Desktop/XPHC/"/>
    </mc:Choice>
  </mc:AlternateContent>
  <xr:revisionPtr revIDLastSave="1492" documentId="11_F25DC773A252ABDACC10488A51D97DE45ADE58EF" xr6:coauthVersionLast="47" xr6:coauthVersionMax="47" xr10:uidLastSave="{A71F738E-3E5E-4482-9D2A-D290FEF49B17}"/>
  <bookViews>
    <workbookView xWindow="-108" yWindow="-108" windowWidth="23256" windowHeight="12456" xr2:uid="{00000000-000D-0000-FFFF-FFFF00000000}"/>
  </bookViews>
  <sheets>
    <sheet name="NĐ106 &amp; NĐ69" sheetId="1" r:id="rId1"/>
  </sheets>
  <definedNames>
    <definedName name="_xlnm._FilterDatabase" localSheetId="0" hidden="1">'NĐ106 &amp; NĐ69'!$A$1:$K$152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2" i="1"/>
</calcChain>
</file>

<file path=xl/sharedStrings.xml><?xml version="1.0" encoding="utf-8"?>
<sst xmlns="http://schemas.openxmlformats.org/spreadsheetml/2006/main" count="726" uniqueCount="384">
  <si>
    <t>STT</t>
  </si>
  <si>
    <t>Nhóm hành vi</t>
  </si>
  <si>
    <t>Hành vi vi phạm</t>
  </si>
  <si>
    <t>Mức phạt dưới</t>
  </si>
  <si>
    <t>Mức phạt trên</t>
  </si>
  <si>
    <t>Thẩm quyền</t>
  </si>
  <si>
    <t>Hình thức phạt bổ sung</t>
  </si>
  <si>
    <t>Biện pháp khắc phục hậu quả</t>
  </si>
  <si>
    <t>Căn cứ</t>
  </si>
  <si>
    <t>Vi phạm quy định về tuyên truyền, phổ biến kiến thức, pháp luật, huấn luyện, bồi dưỡng nghiệp vụ phòng cháy, chữa cháy, cứu nạn, cứu hộ</t>
  </si>
  <si>
    <t>Khoản 1, điều 6, Nghị định số 106/2025/NĐ-CP</t>
  </si>
  <si>
    <t>Khoản 2, điều 6, Nghị định số 106/2025/NĐ-CP</t>
  </si>
  <si>
    <t>Khoản 3, điều 6, Nghị định số 106/2025/NĐ-CP</t>
  </si>
  <si>
    <t>Sử dụng đối tượng quy định tại các điểm c, d, đ, e và điểm g khoản 1 Điều 45 Luật Phòng cháy, chữa cháy và cứu nạn, cứu hộ thực hiện nhiệm vụ phòng cháy, chữa cháy, cứu nạn, cứu hộ nhưng chưa có văn bản thông báo kết quả huấn luyện nghiệp vụ phòng cháy, chữa cháy, cứu nạn, cứu hộ</t>
  </si>
  <si>
    <t>Không tổ chức bồi dưỡng nghiệp vụ phòng cháy, chữa cháy, cứu nạn, cứu hộ hằng năm cho đối tượng quy định tại các điểm c, d, đ, e và điểm g khoản 1 Điều 45 Luật Phòng cháy, chữa cháy và cứu nạn, cứu hộ đã được huấn luyện nghiệp vụ phòng cháy, chữa cháy, cứu nạn, cứu hộ</t>
  </si>
  <si>
    <t>Không tổ chức tuyên truyền, phổ biến, giáo dục kiến thức, pháp luật về phòng cháy, chữa cháy và cứu nạn, cứu hộ đối với các đối tượng quy định tại Điều 8 Luật Phòng cháy, chữa cháy và cứu nạn, cứu hộ</t>
  </si>
  <si>
    <t>Làm hỏng băng rôn, khẩu hiệu, pa nô, áp phích, tranh ảnh tuyên truyền về phòng cháy, chữa cháy, cứu nạn, cứu hộ</t>
  </si>
  <si>
    <t>Buộc khôi phục lại tình trạng ban đầu</t>
  </si>
  <si>
    <t>Buộc tổ chức bồi dưỡng nghiệp vụ phòng cháy, chữa cháy, cứu nạn, cứu hộ</t>
  </si>
  <si>
    <t>Buộc tổ chức huấn luyện nghiệp vụ phòng cháy, chữa cháy, cứu nạn, cứu hộ</t>
  </si>
  <si>
    <t>Vi phạm quy định về ban hành, niêm yết nội quy, biển cấm, biển báo, biển chỉ dẫn về phòng cháy, chữa cháy, cứu nạn, cứu hộ</t>
  </si>
  <si>
    <t>Ban hành nội quy phòng cháy, chữa cháy, cứu nạn, cứu hộ không đủ nội dung theo quy định hoặc không phù hợp với đặc điểm, tính chất hoạt động của cơ sở, phương tiện giao thông</t>
  </si>
  <si>
    <t>Điểm a, khoản 1, điều 7, Nghị định số 106/2025/NĐ-CP</t>
  </si>
  <si>
    <t>Niêm yết nội quy, biển báo, biển cấm, biển chỉ dẫn về phòng cháy, chữa cháy, cứu nạn, cứu hộ không đúng vị trí quy định</t>
  </si>
  <si>
    <t>Điểm b, khoản 1, điều 7, Nghị định số 106/2025/NĐ-CP</t>
  </si>
  <si>
    <t>Không duy trì nội quy, biển báo, biển cấm, biển chỉ dẫn về phòng cháy, chữa cháy, cứu nạn, cứu hộ đã được niêm yết</t>
  </si>
  <si>
    <t>Khoản 2, điều 7, Nghị định số 106/2025/NĐ-CP</t>
  </si>
  <si>
    <t>Không ban hành hoặc không niêm yết nội quy, biển báo, biển cấm, biển chỉ dẫn về phòng cháy, chữa cháy, cứu nạn, cứu hộ.</t>
  </si>
  <si>
    <t>Khoản 3, điều 7, Nghị định số 106/2025/NĐ-CP</t>
  </si>
  <si>
    <t>Vi phạm quy định về thành lập quản lý Đội phòng cháy, chữa cháy và cứu nạn, cứu hộ cơ sở, Đội phòng cháy, chữa cháy và cứu nạn, cứu hộ chuyên ngành; phân công người thực hiện nhiệm vụ phòng cháy, chữa cháy, cứu nạn, cứu hộ</t>
  </si>
  <si>
    <t>Thành lập Đội phòng cháy, chữa cháy và cứu nạn, cứu hộ cơ sở, Đội phòng cháy, chữa cháy và cứu nạn, cứu hộ chuyên ngành không bảo đảm số người theo quy định</t>
  </si>
  <si>
    <t>Điểm a, khoản 1, điều 8, Nghị định số 106/2025/NĐ-CP</t>
  </si>
  <si>
    <t>Điểm b, khoản 1, điều 8, Nghị định số 106/2025/NĐ-CP</t>
  </si>
  <si>
    <t>Không phân công người thực hiện nhiệm vụ phòng cháy, chữa cháy, cứu nạn, cứu hộ tại cơ sở thuộc diện quản lý về phòng cháy, chữa cháy có dưới 20 người thường xuyên làm việc</t>
  </si>
  <si>
    <t>Cơ quan, tổ chức hoạt động trong cơ sở không cử người tham gia Đội phòng cháy, chữa cháy và cứu nạn, cứu hộ cơ sở</t>
  </si>
  <si>
    <t>Điểm a, khoản 2, điều 8, Nghị định số 106/2025/NĐ-CP</t>
  </si>
  <si>
    <t>Không bố trí địa điểm trực chữa cháy, cứu nạn, cứu hộ của Đội phòng cháy, chữa cháy và cứu nạn, cứu hộ cơ sở, Đội phòng cháy, chữa cháy và cứu nạn, cứu hộ chuyên ngành</t>
  </si>
  <si>
    <t>Điểm b, khoản 2, điều 8, Nghị định số 106/2025/NĐ-CP</t>
  </si>
  <si>
    <t>Không bố trí lực lượng, phương tiện của Đội phòng cháy, chữa cháy và cứu nạn, cứu hộ cơ sở, Đội phòng cháy, chữa cháy và cứu nạn, cứu hộ chuyên ngành trực chữa cháy, cứu nạn, cứu hộ hằng ngày</t>
  </si>
  <si>
    <t>Khoản 3, điều 8, Nghị định số 106/2025/NĐ-CP</t>
  </si>
  <si>
    <t>Không thành lập Đội phòng cháy, chữa cháy và cứu nạn, cứu hộ cơ sở</t>
  </si>
  <si>
    <t>Khoản 4, điều 8, Nghị định số 106/2025/NĐ-CP</t>
  </si>
  <si>
    <t>Không thành lập Đội phòng cháy, chữa cháy và cứu nạn, cứu hộ chuyên ngành</t>
  </si>
  <si>
    <t>Khoản 5, điều 8, Nghị định số 106/2025/NĐ-CP</t>
  </si>
  <si>
    <t>Vi phạm quy định hồ sơ về phòng cháy, chữa cháy, cứu nạn, cứu hộ</t>
  </si>
  <si>
    <t>Không đủ tài liệu trong hồ sơ về phòng cháy, chữa cháy, cứu nạn, cứu hộ</t>
  </si>
  <si>
    <t>Khoản 1, điều 9, Nghị định số 106/2025/NĐ-CP</t>
  </si>
  <si>
    <t>Không lập hồ sơ về phòng cháy, chữa cháy, cứu nạn, cứu hộ</t>
  </si>
  <si>
    <t>Khoản 2, điều 9, Nghị định số 106/2025/NĐ-CP</t>
  </si>
  <si>
    <t>Vi phạm quy định kiểm tra về phòng cháy, chữa cháy</t>
  </si>
  <si>
    <t>Không xuất trình hồ sơ về phòng cháy, chữa cháy, cứu nạn, cứu hộ phục vụ kiểm tra, thanh tra về phòng cháy, chữa cháy</t>
  </si>
  <si>
    <t>Gửi báo cáo kết quả thực hiện công tác phòng cháy, chữa cháy, cứu nạn, cứu hộ của cơ sở không đúng thời hạn;</t>
  </si>
  <si>
    <t>Không thực hiện yêu cầu về phòng cháy, chữa cháy, cứu nạn, cứu hộ tại văn bản kiến nghị để cơ sở khắc phục những tồn tại, hạn chế</t>
  </si>
  <si>
    <t>Điểm b, khoản 1, điều 10, Nghị định số 106/2025/NĐ-CP</t>
  </si>
  <si>
    <t>Điểm c, khoản 1, điều 10, Nghị định số 106/2025/NĐ-CP</t>
  </si>
  <si>
    <t>Không bố trí người có thẩm quyền làm việc với người có thẩm quyền kiểm tra, thanh tra sau khi đã nhận được thông báo kiểm tra, quyết định thanh tra về phòng cháy, chữa cháy;</t>
  </si>
  <si>
    <t>Không gửi báo cáo kết quả thực hiện công tác phòng cháy, chữa cháy, cứu nạn, cứu hộ của cơ sở</t>
  </si>
  <si>
    <t>Điểm b, khoản 2, điều 10, Nghị định số 106/2025/NĐ-CP</t>
  </si>
  <si>
    <t>Không thực hiện tự kiểm tra về phòng cháy, chữa cháy định kỳ</t>
  </si>
  <si>
    <t>Khoản 3, điều 10, Nghị định số 106/2025/NĐ-CP</t>
  </si>
  <si>
    <t>Không chấp hành việc đình chỉ hoạt động có thời hạn tại quyết định xử phạt vi phạm hành chính trong lĩnh vực phòng cháy, chữa cháy và cứu nạn, cứu hộ của người có thẩm quyền</t>
  </si>
  <si>
    <t>Điểm a, khoản 4, điều 10, Nghị định số 106/2025/NĐ-CP</t>
  </si>
  <si>
    <t>Không chấp hành quyết định tạm đình chỉ, quyết định đình chỉ hoạt động theo quy định của pháp luật về phòng cháy, chữa cháy và cứu nạn, cứu hộ.</t>
  </si>
  <si>
    <t>Điểm b, khoản 4, điều 10, Nghị định số 106/2025/NĐ-CP</t>
  </si>
  <si>
    <t>Vị phạm quy định về phòng cháy, chữa cháy trong sử dụng nguồn lửa, nguồn nhiệt, thiết bị, dụng cụ sinh lửa, sinh nhiệt</t>
  </si>
  <si>
    <t>Sử dụng nguồn lửa, nguồn nhiệt, thiết bị, dụng cụ sinh lửa, sinh nhiệt mà không bảo đảm khoảng cách phòng cháy, chữa cháy theo quy định</t>
  </si>
  <si>
    <t>Khoản 1, điều 11, Nghị định số 106/2025/NĐ-CP</t>
  </si>
  <si>
    <t>Sử dụng nguồn lửa, nguồn nhiệt, thiết bị, dụng cụ sinh lửa, sinh nhiệt ở những khu vực có quy định cấm</t>
  </si>
  <si>
    <t>Điểm a, khoản 2, điều 11, Nghị định số 106/2025/NĐ-CP</t>
  </si>
  <si>
    <t>Hàn, cắt kim loại mà không có biện pháp phòng cháy, chữa cháy theo quy định</t>
  </si>
  <si>
    <t>Điểm b, khoản 2, điều 11, Nghị định số 106/2025/NĐ-CP</t>
  </si>
  <si>
    <t>Ghi chú</t>
  </si>
  <si>
    <t>Phạt tiền gấp hai lần mức tiền phạt khi để xảy ra cháy nhưng chưa đến mức truy
cứu trách nhiệm hình sự</t>
  </si>
  <si>
    <t>Vi phạm quy định về phòng cháy, chữa cháy trong lắp đặt, sử dụng điện</t>
  </si>
  <si>
    <t>Lắp đặt, sử dụng dây dẫn điện, thiết bị điện, thiết bị đóng ngắt, bảo vệ không bảo đảm an toàn phòng cháy</t>
  </si>
  <si>
    <t>Khoản 1, điều 12, Nghị định số 106/2025/NĐ-CP</t>
  </si>
  <si>
    <t>Không duy trì thiết bị điện phòng nổ đã được trang bị, lắp đặt</t>
  </si>
  <si>
    <t>Khoản 2, điều 12, Nghị định số 106/2025/NĐ-CP</t>
  </si>
  <si>
    <t>Không trang bị, lắp đặt, sử dụng thiết bị điện phòng nổ</t>
  </si>
  <si>
    <t>Khoản 3, điều 12, Nghị định số 106/2025/NĐ-CP</t>
  </si>
  <si>
    <t>Không có giải pháp ngăn cháy đối với khu vực sạc điện cho xe động cơ điện tập trung trong nhà;</t>
  </si>
  <si>
    <t>Điểm a, khoản 4, điều 12, Nghị định số 106/2025/NĐ-CP</t>
  </si>
  <si>
    <t>Không có hệ thống điện phục vụ phòng cháy và chữa cháy</t>
  </si>
  <si>
    <t>Không duy trì nguồn điện phục vụ phòng cháy và chữa cháy</t>
  </si>
  <si>
    <t>Điểm b, khoản 4, điều 12, Nghị định số 106/2025/NĐ-CP</t>
  </si>
  <si>
    <t>Điểm c, khoản 4, điều 12, Nghị định số 106/2025/NĐ-CP</t>
  </si>
  <si>
    <t>Buộc thực hiện giải pháp ngăn cháy</t>
  </si>
  <si>
    <t>Vi phạm quy định về an toàn phòng cháy và chữa cháy trong lắp đặt, kiểm tra, bảo trì hệ thống tiếp địa, chống sét</t>
  </si>
  <si>
    <t>Không kiểm tra, bảo trì định kỳ hệ thống tiếp địa, chống sét</t>
  </si>
  <si>
    <t>Khoản 1, điều 13, Nghị định số 106/2025/NĐ-CP</t>
  </si>
  <si>
    <t>Lắp đặt hệ thống tiếp địa, chống sét không bảo đảm theo quy định</t>
  </si>
  <si>
    <t>Điểm a, khoản 2, điều 13, Nghị định số 106/2025/NĐ-CP</t>
  </si>
  <si>
    <t>Không duy trì hệ thống tiếp địa, chống sét đã được lắp đặt</t>
  </si>
  <si>
    <t>Điểm b, khoản 2, điều 13, Nghị định số 106/2025/NĐ-CP</t>
  </si>
  <si>
    <t>Không lắp đặt hệ thống tiếp địa, chống sét cho nhà, công trình</t>
  </si>
  <si>
    <t>Khoản 3, điều 13, Nghị định số 106/2025/NĐ-CP</t>
  </si>
  <si>
    <t>Vi phạm quy định về phòng cháy, chữa cháy trong quản lý, bảo quản, sử dụng chất, hàng hóa nguy hiểm về cháy, nổ</t>
  </si>
  <si>
    <t>Sắp xếp hoặc bố trí chất, hàng hóa nguy hiểm về cháy, nổ không bảo đảm theo quy định</t>
  </si>
  <si>
    <t>Điểm a, khoản 1, điều 14, Nghị định số 106/2025/NĐ-CP</t>
  </si>
  <si>
    <t>Bảo quản chất, hàng hóa nguy hiểm về cháy, nổ vượt quá số lượng, khối lượng theo quy định</t>
  </si>
  <si>
    <t>Điểm b, khoản 1, điều 14, Nghị định số 106/2025/NĐ-CP</t>
  </si>
  <si>
    <t>Bảo quản hoặc sử dụng chất, hàng hóa nguy hiểm về cháy, nổ không đúng nơi quy định</t>
  </si>
  <si>
    <t>Khoản 2, điều 14, Nghị định số 106/2025/NĐ-CP</t>
  </si>
  <si>
    <t>Để hình thành môi trường nguy hiểm cháy, nổ có chi số nguy hiểm cháy, nổ vượt quá giới hạn dưới của giới hạn nồng độ bắt cháy</t>
  </si>
  <si>
    <t>Khoản 3, điều 14, Nghị định số 106/2025/NĐ-CP</t>
  </si>
  <si>
    <t>Tàng trữ trái phép chất, hàng hóa nguy hiểm về cháy, nổ nhưng chưa đến mức truy cứu trách nhiệm hình sự</t>
  </si>
  <si>
    <t>Khoản 4, điều 14, Nghị định số 106/2025/NĐ-CP</t>
  </si>
  <si>
    <t>Sử dụng trái phép chất, hàng hóa nguy hiểm về cháy, nổ nhưng chưa đến mức truy cứu trách nhiệm hình sự</t>
  </si>
  <si>
    <t>Khoản 5, điều 14, Nghị định số 106/2025/NĐ-CP</t>
  </si>
  <si>
    <t>Tịch thu tang vật vi phạm hành chính</t>
  </si>
  <si>
    <t>Buộc giảm số lượng, khối lượng chất, hàng hóa nguy hiểm về cháy, nổ</t>
  </si>
  <si>
    <t>Buộc di chuyển chất, hàng hóa nguy hiểm về cháy, nổ đúng nơi quy định</t>
  </si>
  <si>
    <t>Vi phạm quy định về phòng cháy, chữa cháy trong sản xuất, kinh doanh chất, hàng hóa nguy hiểm về cháy, nổ</t>
  </si>
  <si>
    <t>Không duy trì thiết bị phát hiện rò rỉ chất, hàng hóa nguy hiểm về cháy, nổ đã được trang bị, lắp đặt</t>
  </si>
  <si>
    <t>Điểm a, khoản 1, điều 15, Nghị định số 106/2025/NĐ-CP</t>
  </si>
  <si>
    <t>Không duy trì thiết bị, hệ thống chống tĩnh điện đã được trang bị, lắp đặt.</t>
  </si>
  <si>
    <t>Điểm b, khoản 1, điều 15, Nghị định số 106/2025/NĐ-CP</t>
  </si>
  <si>
    <t>Không trang bị, lắp đặt thiết bị phát hiện rò rỉ chất, hàng hóa nguy hiểm về cháy, nổ</t>
  </si>
  <si>
    <t>Điểm a, khoản 2, điều 15, Nghị định số 106/2025/NĐ-CP</t>
  </si>
  <si>
    <t>Không trang bị, lắp đặt thiết bị, hệ thống chống tĩnh điện</t>
  </si>
  <si>
    <t>Điểm b, khoản 2, điều 15, Nghị định số 106/2025/NĐ-CP</t>
  </si>
  <si>
    <t>San, chiết, nạp chất, hàng hóa nguy hiểm về cháy, nổ không đúng nơi quy định</t>
  </si>
  <si>
    <t>Điểm a, khoản 3, điều 15, Nghị định số 106/2025/NĐ-CP</t>
  </si>
  <si>
    <t>San, chiết, nạp chất, hàng hóa nguy hiểm về cháy, nổ sang thiết bị chứa không đúng chủng loại hoặc không phù hợp với loại chất, hàng hóa nguy hiểm về cháy, nổ</t>
  </si>
  <si>
    <t>Điểm b, khoản 3, điều 15, Nghị định số 106/2025/NĐ-CP</t>
  </si>
  <si>
    <t>Sản xuất hoặc kinh doanh trái phép chất, hàng hóa nguy hiểm về cháy, nổ nhưng chưa đến mức truy cứu trách nhiệm hình sự</t>
  </si>
  <si>
    <t>Khoản 4, điều 15, Nghị định số 106/2025/NĐ-CP</t>
  </si>
  <si>
    <t>- Tịch thu tang vật vi phạm hành chính;
- Tước quyền sử dụng giấy phép là văn bản thẩm định thiết kế về
phòng cháy và chữa cháy, văn bản chấp thuận kết quả nghiệm thu về phòng
cháy và chữa cháy từ 06 tháng đến 12 tháng</t>
  </si>
  <si>
    <t>Vi phạm quy định trong vận chuyển chất, hàng hóa nguy hiểm về cháy, nổ</t>
  </si>
  <si>
    <t>Sắp xếp, bố trí chất, hàng hóa nguy hiểm về cháy, nổ trên phương tiện vận chuyển không bảo đảm an toàn phòng cháy</t>
  </si>
  <si>
    <t>Khoản 1, điều 16, Nghị định số 106/2025/NĐ-CP</t>
  </si>
  <si>
    <t>Không duy trì các điều kiện an toàn về phòng cháy của phương tiện giao thông khi vận chuyển chất, hàng hóa nguy hiểm về cháy, nổ</t>
  </si>
  <si>
    <t>Điểm a, khoản 2, điều 16, Nghị định số 106/2025/NĐ-CP</t>
  </si>
  <si>
    <t>Vận chuyển hàng hóa khác cùng với chất, hàng hóa nguy hiểm về cháy, nổ mà không được phép trên cùng một phương tiện giao thông</t>
  </si>
  <si>
    <t>Chở người không có nhiệm vụ trên phương tiện giao thông vận chuyền chất, hàng hóa nguy hiểm về cháy, nổ</t>
  </si>
  <si>
    <t>Điểm b, khoản 2, điều 16, Nghị định số 106/2025/NĐ-CP</t>
  </si>
  <si>
    <t>Điểm c, khoản 2, điều 16, Nghị định số 106/2025/NĐ-CP</t>
  </si>
  <si>
    <t>Không thực hiện các điều kiện bảo đảm an toàn về phòng cháy, chữa cháy khi bốc, dỡ, bơm, chuyển chất, hàng hóa nguy hiểm về cháy, nổ ra khỏi phương tiện giao thông</t>
  </si>
  <si>
    <t>Điểm a, khoản 3, điều 16, Nghị định số 106/2025/NĐ-CP</t>
  </si>
  <si>
    <t>Không duy trì các biện pháp an toàn phòng cháy cho thiết bị, đường ống chuyển chất khí, chất lỏng dễ cháy, nổ</t>
  </si>
  <si>
    <t>Bốc, dỡ, bơm, chuyển chất, hàng hóa nguy hiểm về cháy, nổ tại địa điểm không bảo đảm an toàn phòng cháy.</t>
  </si>
  <si>
    <t>Điểm b, khoản 3, điều 16, Nghị định số 106/2025/NĐ-CP</t>
  </si>
  <si>
    <t>Điểm c, khoản 3, điều 16, Nghị định số 106/2025/NĐ-CP</t>
  </si>
  <si>
    <t>Buộc duy trì các điều kiện an toàn về phòng cháy của phương tiện giao thông khi vận chuyển chất, hàng hóa nguy hiểm về cháy, nổ</t>
  </si>
  <si>
    <t>Buộc duy trì các biện pháp an toàn phòng cháy cho thiết bị, đường ống chuyển chất khí, chất lỏng dễ cháy, nổ</t>
  </si>
  <si>
    <t>Buộc bốc, dỡ, bơm, chuyển chất, hàng hóa nguy hiểm về cháy, nổ tại địa điểm bảo đảm an toàn phòng cháy</t>
  </si>
  <si>
    <t>Mua bảo hiểm cháy, nổ bắt buộc không đủ đối tượng bảo hiểm cháy, nổ bắt buộc hoặc không đúng mức phí bảo hiểm cháy, nổ bắt buộc theo quy định đối với cơ sở phải mua bảo hiểm cháy, nổ bắt buộc</t>
  </si>
  <si>
    <t>Vi phạm quy định về bảo hiểm cháy, nổ bắt buộc</t>
  </si>
  <si>
    <t>Nộp từ 50% đến dưới 100% tổng số tiền được trích cho hoạt động phòng cháy, chữa cháy, cứu nạn, cứu hộ từ bảo hiểm cháy, nổ bắt buộc theo quy định</t>
  </si>
  <si>
    <t>Điểm b, khoản 1, điều 17, Nghị định số 106/2025/NĐ-CP</t>
  </si>
  <si>
    <t>Nộp dưới 50% tổng số tiền được trích cho hoạt động phòng cháy, chữa cháy, cứu nạn, cứu hộ từ bảo hiểm cháy, nổ bắt buộc theo quy định</t>
  </si>
  <si>
    <t>Khoản 2, điều 17, Nghị định số 106/2025/NĐ-CP</t>
  </si>
  <si>
    <t>Không mua bảo hiểm cháy, nổ bắt buộc đối với cơ sở có nguy hiểm về cháy, nổ thuộc nhóm 2 theo quy định của pháp luật về phòng cháy, chữa cháy và cứu nạn, cứu hộ</t>
  </si>
  <si>
    <t>Khoản 3, điều 17, Nghị định số 106/2025/NĐ-CP</t>
  </si>
  <si>
    <t>Không mua bảo hiểm cháy, nổ bắt buộc đối với cơ sở có nguy hiểm về cháy, nổ thuộc nhóm 1 theo quy định của pháp luật về phòng cháy, chữa cháy và cứu nạn, cứu hộ</t>
  </si>
  <si>
    <t>Điểm a, khoản 4, điều 17, Nghị định số 106/2025/NĐ-CP</t>
  </si>
  <si>
    <t>Không nộp tiền được trích cho hoạt động phòng cháy, chữa cháy, cứu nạn, cứu hộ từ bảo hiểm cháy, nổ bắt buộc theo quy định</t>
  </si>
  <si>
    <t>Điểm b, khoản 4, điều 17, Nghị định số 106/2025/NĐ-CP</t>
  </si>
  <si>
    <t>Buộc mua bảo hiểm cháy, nổ bắt buộc theo quy định</t>
  </si>
  <si>
    <t>Vi phạm quy định về thẩm định thiết kế, nghiệm thu về phòng cháy và chữa cháy</t>
  </si>
  <si>
    <t>Chuyển đổi, bổ sung công năng hoặc cải tạo công trình, hạng mục công trình trong quá trình sử dụng thuộc điện phải thẩm định thiết kế về phòng cháy và chữa cháy khi chưa có văn bản thẩm định thiết kế về phòng cháy và chữa cháy của cơ quan quản lý chuyên ngành</t>
  </si>
  <si>
    <t>Điểm a, khoản 1, điều 18, Nghị định số 106/2025/NĐ-CP</t>
  </si>
  <si>
    <t>Hoán cải phương tiện giao thông trong quá trình sử dụng thuộc diện phải thẩm định thiết kế về phòng cháy và chữa cháy khỉ chưa có văn bản thẩm định thiết kế về phòng cháy và chữa cháy của cơ quan quản lý chuyên ngành</t>
  </si>
  <si>
    <t>Điểm b, khoản 1, điều 18, Nghị định số 106/2025/NĐ-CP</t>
  </si>
  <si>
    <t>Thi công xây dựng công trình, hạng mục công trình hoặc sản xuất, lắp ráp, đóng mới phương tiện giao thông thuộc diện phải thẩm định thiết kế về phòng cháy và chữa cháy khi chưa có văn bản thẩm định thiết kế về phòng cháy và chữa cháy của cơ quan quản lý chuyên ngành</t>
  </si>
  <si>
    <t>Khoản 2, điều 18, Nghị định số 106/2025/NĐ-CP</t>
  </si>
  <si>
    <t>Khoản 3, điều 18, Nghị định số 106/2025/NĐ-CP</t>
  </si>
  <si>
    <t>Khoản 4, điều 18, Nghị định số 106/2025/NĐ-CP</t>
  </si>
  <si>
    <t>Đình chỉ hoạt động từ 01 tháng đến 06 tháng</t>
  </si>
  <si>
    <t>Đình chỉ hoạt động từ 03 tháng đến 12 tháng</t>
  </si>
  <si>
    <t>Hành vi vi phạm về lưu thông phương tiện phòng cháy, chữa cháy, cứu nạn, cứu hộ và vật liệu, cấu kiện ngăn cháy, chống cháy</t>
  </si>
  <si>
    <t>Khoản 1, điều 19, Nghị định số 106/2025/NĐ-CP</t>
  </si>
  <si>
    <t>Điểm a, khoản 2, điều 19, Nghị định số 106/2025/NĐ-CP</t>
  </si>
  <si>
    <t>Sử dụng hồ sơ, tài liệu sai sự thật để đề nghị cấp giấy phép lưu thông phương tiện phòng cháy, chữa cháy, cứu nạn, cứu hộ, vật liệu, cấu kiện ngăn cháy, chống cháy</t>
  </si>
  <si>
    <t>Điểm b, khoản 2, điều 19, Nghị định số 106/2025/NĐ-CP</t>
  </si>
  <si>
    <t>Buộc nộp lại giấy phép lưu thông phương tiện phòng cháy, chữa cháy, cứu nạn, cứu hộ, vật liệu, cấu kiện ngăn cháy, chống cháy cho cơ quan, người có thầm quyền đã cấp giấy phép</t>
  </si>
  <si>
    <t>Buộc thu hồi phương tiện phòng cháy, chữa cháy, cứu nạn, cứu hộ, vật liệu, cấu kiện ngăn cháy, chống cháy</t>
  </si>
  <si>
    <t>Kinh doanh, đưa phương tiện phòng cháy, chữa cháy, cứu nạn, cứu hộ, vật liệu, cấu kiện ngăn cháy, chống cháy vào lưu thông khi chưa được cấp phép</t>
  </si>
  <si>
    <t>Tẩy xóa, sửa chữa làm sai lệch nội dung giấy phép lưu thông phương tiện phòng cháy, chữa cháy, cứu nạn, cứu hộ, vật liệu, cấu kiện ngăn cháy, chống cháy</t>
  </si>
  <si>
    <t>Đưa công trình, hạng mục công trình, phương tiện giao thông thuộc diện phải thẩm định thiết kế về phòng cháy và chữa cháy vào sử dụng, hoạt động khỉ chưa có - 14 văn bản thẩm định thiết kế về phòng cháy và chữa cháy và văn bản chấp thuận kết quả nghiệm thu về phòng cháy và chữa cháy của cơ quan quản lý chuyên ngành</t>
  </si>
  <si>
    <t>Đưa công trình, hạng mục công trình, phương tiện giao thông đã được thẩm duyệt thiết kế hoặc thẩm định thiết kế về phòng cháy và chữa cháy vào khai thác, sử dụng khi chưa có văn bản chấp thuận kết quả nghiệm thu về phòng cháy và chữa cháy của cơ quan quản lý chuyên ngành</t>
  </si>
  <si>
    <t>Vi phạm quy định về trang bị, lắp đặt phương tiện phòng cháy, chữa cháy, cứu nạn, cứu hộ</t>
  </si>
  <si>
    <t>Trang bị phương tiện chữa cháy thông dụng, dụng cụ phá dỡ thô sơ không bảo đảm theo quy định</t>
  </si>
  <si>
    <t>Khoản 1, điều 20, Nghị định số 106/2025/NĐ-CP</t>
  </si>
  <si>
    <t>Không trang bị, lắp đặt phương tiện chữa cháy thông dụng, dụng cụ phá đỡ thô sơ</t>
  </si>
  <si>
    <t>Khoản 2, điều 20, Nghị định số 106/2025/NĐ-CP</t>
  </si>
  <si>
    <t>Trang bị, lắp đặt đèn, phương tiện chiếu sáng sự cố, chỉ dẫn thoát nạn không bảo đảm theo quy định.</t>
  </si>
  <si>
    <t>Khoản 3, điều 20, Nghị định số 106/2025/NĐ-CP</t>
  </si>
  <si>
    <t>Trang bị phương tiện phòng cháy, chữa cháy, cứu nạn, cứu hộ cho Đội phòng cháy, chữa cháy và cứu nạn, cứu hộ cơ sở, Đội phòng cháy, chữa cháy và cứu nạn, cứu hộ chuyên ngành không bảo đảm theo quy định</t>
  </si>
  <si>
    <t>Khoản 4, điều 20, Nghị định số 106/2025/NĐ-CP</t>
  </si>
  <si>
    <t>Không trang bị, lắp đặt đèn, phương tiện chiếu sáng sự cố, chỉ dẫn thoát nạn</t>
  </si>
  <si>
    <t>Khoản 5, điều 20, Nghị định số 106/2025/NĐ-CP</t>
  </si>
  <si>
    <t>Không trang bị phương tiện phòng cháy, chữa cháy, cứu nạn, cứu hộ cho Đội phòng cháy, chữa cháy và cứu nạn, cứu hộ cơ sở</t>
  </si>
  <si>
    <t>Khoản 6, điều 20, Nghị định số 106/2025/NĐ-CP</t>
  </si>
  <si>
    <t>Không trang bị phương tiện phòng cháy, chữa cháy, cứu nạn, cứu hộ cho Đội phòng cháy, chữa cháy và cứu nạn, cứu hộ chuyên ngành</t>
  </si>
  <si>
    <t>Khoản 7, điều 20, Nghị định số 106/2025/NĐ-CP</t>
  </si>
  <si>
    <t>Trang bị, lắp đặt thiết bị thuộc hệ thống báo cháy không bảo đảm theo quy định;</t>
  </si>
  <si>
    <t>Trang bị, lắp đặt thiết bị thuộc hệ thống chữa cháy không bảo đảm theo quy định.</t>
  </si>
  <si>
    <t>Điểm a, khoản 8, điều 20, Nghị định số 106/2025/NĐ-CP</t>
  </si>
  <si>
    <t>Điểm b, khoản 8, điều 20, Nghị định số 106/2025/NĐ-CP</t>
  </si>
  <si>
    <t>Trang bị phương tiện chữa cháy, cứu nạn, cứu hộ cơ giới không bảo đảm số lượng hoặc không bảo đảm yêu cầu kĩ thuật theo quy định</t>
  </si>
  <si>
    <t>Không trang bị, lắp đặt hệ thống báo cháy</t>
  </si>
  <si>
    <t>Điểm a, khoản 9, điều 20, Nghị định số 106/2025/NĐ-CP</t>
  </si>
  <si>
    <t>Không trang bị, lắp đặt hệ thống chữa cháy</t>
  </si>
  <si>
    <t>Không trang bị phương tiện chữa cháy, cứu nạn, cứu hộ cơ giới.</t>
  </si>
  <si>
    <t>Điểm b, khoản 9, điều 20, Nghị định số 106/2025/NĐ-CP</t>
  </si>
  <si>
    <t>Điểm c, khoản 9, điều 20, Nghị định số 106/2025/NĐ-CP</t>
  </si>
  <si>
    <t>Đình chỉ hoạt động từ 03 tháng đến 06 tháng</t>
  </si>
  <si>
    <t>Buộc trang bị phương tiện chữa cháy thông dụng, dụng cụ phá dỡ thô sơ</t>
  </si>
  <si>
    <t>Buộc trang bị, lắp đặt đèn, phương tiện chiếu sáng sự cố, chỉ dẫn thoát nạn</t>
  </si>
  <si>
    <t>Buộc trang bị phương tiện phòng cháy, chữa cháy, cứu nạn, cứu hộ bảo đảm theo quy định cho Đội phòng cháy, chữa cháy và cứu nạn, cứu hộ cơ sở, Đội phòng cháy, chữa cháy và cứu nạn, cứu hộ chuyên ngành</t>
  </si>
  <si>
    <t>Buộc trang bị, lắp đặt thiết bị thuộc hệ thống báo cháy, hệ thống báo cháy bảo đảm theo quy định</t>
  </si>
  <si>
    <t>Buộc trang bị, lắp đặt thiết bị thuộc hệ thống chữa cháy, hệ thống chữa cháy bảo đảm theo quy định</t>
  </si>
  <si>
    <t>Buộc trang bị phương tiện chữa cháy, cứu nạn, cứu hộ cơ giới bảo đảm theo quy định</t>
  </si>
  <si>
    <t>Vi phạm quy định về sứ dụng phương tiện phòng cháy, chữa cháy, cứu nạn, cứu hộ</t>
  </si>
  <si>
    <t>Tự ý di chuyển, che khuất phương tiện phòng cháy, chữa cháy, cứu nạn, cứu hộ đã được trang bị, lắp đặt.</t>
  </si>
  <si>
    <t>Khoản 1, điều 21, Nghị định số 106/2025/NĐ-CP</t>
  </si>
  <si>
    <t>Không duy trì đủ số lượng hoặc không bảo đảm yêu cầu kĩ thuật theo quy định của phương tiện chữa cháy thông dụng, dụng cụ phá dỡ thô sơ đã được trang bị, lắp đặt;</t>
  </si>
  <si>
    <t>Không duy trì trữ lượng nước chữa cháy theo quy định.</t>
  </si>
  <si>
    <t>Không duy trì hoạt động của đèn, phương tiện chiếu sáng sự cố, chỉ dẫn thoát nạn đã được trang bị, lắp đặt</t>
  </si>
  <si>
    <t>Điểm a, khoản 3, điều 21, Nghị định số 106/2025/NĐ-CP</t>
  </si>
  <si>
    <t>Không duy trì hoạt động của thiết bị báo cháy độc lập đã được trang bị, lắp đặt</t>
  </si>
  <si>
    <t>Điểm b, khoản 3, điều 21, Nghị định số 106/2025/NĐ-CP</t>
  </si>
  <si>
    <t>Không duy trì hoạt động của thiết bị thuộc hệ thống báo cháy đã được trang bị, lắp đặt</t>
  </si>
  <si>
    <t>Điểm a, khoản 4, điều 21, Nghị định số 106/2025/NĐ-CP</t>
  </si>
  <si>
    <t>Không duy trì hoạt động của thiết bị thuộc hệ thống chữa cháy đã được trang bị, lắp đặt</t>
  </si>
  <si>
    <t>Điểm b, khoản 4, điều 21, Nghị định số 106/2025/NĐ-CP</t>
  </si>
  <si>
    <t>Không đưa phương tiện chữa cháy, cứu nạn, cứu hộ cơ giới vào trực chữa cháy, cứu nạn, cứu hộ</t>
  </si>
  <si>
    <t>Khoản 5, điều 21, Nghị định số 106/2025/NĐ-CP</t>
  </si>
  <si>
    <t>Không duy trì hoạt động của hệ thống báo cháy đã được trang bị, lắp đặt</t>
  </si>
  <si>
    <t>Điểm a, khoản 6, điều 21, Nghị định số 106/2025/NĐ-CP</t>
  </si>
  <si>
    <t>Không duy trì hoạt động của hệ thống chữa cháy đã được trang bị, lắp đặt</t>
  </si>
  <si>
    <t>Điểm b, khoản 6, điều 21, Nghị định số 106/2025/NĐ-CP</t>
  </si>
  <si>
    <t>Buộc duy trì đủ số lượng, bảo đảm yêu cầu kĩ thuật phương tiện chữa cháy thông dụng, dụng cụ phá dỡ thộ sơ, trữ lượng nước chữa cháy</t>
  </si>
  <si>
    <t>Buộc duy trì đèn, phương tiện chiếu sáng sự cố, chỉ dẫn thoát nạn</t>
  </si>
  <si>
    <t>Buộc duy trì thiết bị báo cháy độc lập</t>
  </si>
  <si>
    <t>Buộc duy trì thiết bị thuộc hệ thống báo cháy, hệ thống báo cháy</t>
  </si>
  <si>
    <t>Buộc duy trì thiết bị thuộc hệ thống chữa cháy, hệ thống chữa cháy</t>
  </si>
  <si>
    <t>Vi phạm quy định về bảo quản, bảo đưỡng phương tiện phòng cháy, chữa cháy, cứu nạn, cứu hộ</t>
  </si>
  <si>
    <t>Không bảo quản, bảo dưỡng phương tiện chữa cháy thông dụng hoặc thiết bị báo cháy độc lập</t>
  </si>
  <si>
    <t>Điểm a, khoản 1, điều 22, Nghị định số 106/2025/NĐ-CP</t>
  </si>
  <si>
    <t>Bảo quản, bảo dưỡng hệ thống báo cháy không bảo đảm nội dung theo quy định</t>
  </si>
  <si>
    <t>Điểm b, khoản 1, điều 22, Nghị định số 106/2025/NĐ-CP</t>
  </si>
  <si>
    <t>Bảo quản, bảo dưỡng hệ thống chữa cháy không bảo đảm nội dung theo quy định</t>
  </si>
  <si>
    <t>Bảo quản, bảo dưỡng phương tiện chữa cháy, cứu nạn, cứu hộ cơ giới không bảo đảm nội dung theo quy định.</t>
  </si>
  <si>
    <t>Điểm c, khoản 1, điều 22, Nghị định số 106/2025/NĐ-CP</t>
  </si>
  <si>
    <t>Điểm d, khoản 1, điều 22, Nghị định số 106/2025/NĐ-CP</t>
  </si>
  <si>
    <t>Không bảo quản, bảo dưỡng phương tiện chữa cháy, cứu nạn, cứu hộ cơ giới</t>
  </si>
  <si>
    <t>Khoản 2, điều 22, Nghị định số 106/2025/NĐ-CP</t>
  </si>
  <si>
    <t>Không bảo dưỡng hệ thống báo cháy</t>
  </si>
  <si>
    <t>Không bảo dưỡng hệ thống chữa cháy.</t>
  </si>
  <si>
    <t>Điểm a, khoản 3, điều 22, Nghị định số 106/2025/NĐ-CP</t>
  </si>
  <si>
    <t>Điểm b, khoản 3, điều 22, Nghị định số 106/2025/NĐ-CP</t>
  </si>
  <si>
    <t>Vi phạm quy định về thông gió, chống khói</t>
  </si>
  <si>
    <t>Trang bị, lắp đặt thiết bị thuộc hệ thống thông gió thoát khói không bảo đảm theo quy định</t>
  </si>
  <si>
    <t>Điểm a, khoản 1, điều 23, Nghị định số 106/2025/NĐ-CP</t>
  </si>
  <si>
    <t>Trang bị, lắp đặt thiết bị thuộc hệ thống tạo áp suất dư cho khu vực cần chống nhiễm khói không bảo đảm theo quy định</t>
  </si>
  <si>
    <t>Điểm b, khoản 1, điều 23, Nghị định số 106/2025/NĐ-CP</t>
  </si>
  <si>
    <t>Không duy trì thông gió tự nhiên hoặc không duy trì hệ thống thông gió thoát khói đã được trang bị, lắp đặt</t>
  </si>
  <si>
    <t>Điểm a, khoản 2, điều 23, Nghị định số 106/2025/NĐ-CP</t>
  </si>
  <si>
    <t>Không duy trì hệ thống tạo áp suất dư cho khu vực cần chống nhiễm khói đã được trang bị, lắp đặt</t>
  </si>
  <si>
    <t>Điểm b, khoản 2, điều 23, Nghị định số 106/2025/NĐ-CP</t>
  </si>
  <si>
    <t>Không duy trì giải pháp thông gió cho khu vực sản xuất, bảo quản, kinh doanh, sử dụng chất, hàng hóa nguy hiểm về cháy, nổ đã được trang bị, lắp đặt</t>
  </si>
  <si>
    <t>Khoản 3, điều 23, Nghị định số 106/2025/NĐ-CP</t>
  </si>
  <si>
    <t>Không có giải pháp thông gió tự nhiên hoặc không có giải pháp thông gió thoát khói</t>
  </si>
  <si>
    <t>Điểm a, khoản 4, điều 23, Nghị định số 106/2025/NĐ-CP</t>
  </si>
  <si>
    <t>Không trang bị, lắp đặt hệ thống tạo áp suất dư cho khu vực phải trang bị, lắp đặt</t>
  </si>
  <si>
    <t>Điểm b, khoản 4, điều 23, Nghị định số 106/2025/NĐ-CP</t>
  </si>
  <si>
    <t>Buộc trang bị, lắp đặt hệ thống thông gió thoát khói</t>
  </si>
  <si>
    <t>Buộc trang bị, lắp đặt hệ thống tạo áp suất dư</t>
  </si>
  <si>
    <t>Buộc duy trì giải pháp thông gió, hệ thống thông gió thoát khói</t>
  </si>
  <si>
    <t>Buộc duy trì hệ thống tạo áp suất dư</t>
  </si>
  <si>
    <t>Buộc duy trì giải pháp thông gió chọ khu vực sản xuất, bảo quản, kinh doanh, sử dụng chất, hàng hóa nguy hiểm về cháy, nổ</t>
  </si>
  <si>
    <t>Vi phạm quy định về thoát nạn trong phòng cháy và chữa cháy</t>
  </si>
  <si>
    <t>Lắp gương trên đường thoát nạn</t>
  </si>
  <si>
    <t>Cửa đi trên lối ra thoát nạn không mở theo chiều thoát nạn</t>
  </si>
  <si>
    <t>Điểm a, khoản 1, điều 24, Nghị định số 106/2025/NĐ-CP</t>
  </si>
  <si>
    <t>Điểm b, khoản 1, điều 24, Nghị định số 106/2025/NĐ-CP</t>
  </si>
  <si>
    <t>Để vật tư, hàng hóa, phương tiện giao thông, vật dụng, thiết bị khác cản trở lối thoát nạn hoặc đường thoát nạn</t>
  </si>
  <si>
    <t>Khoản 2, điều 24, Nghị định số 106/2025/NĐ-CP</t>
  </si>
  <si>
    <t>Không duy trì lối thoát nạn hoặc đường thoát nạn của gian phòng, khu vực</t>
  </si>
  <si>
    <t>Điểm a, khoản 4, điều 24, Nghị định số 106/2025/NĐ-CP</t>
  </si>
  <si>
    <t>Không có đủ lối thoát nạn hoặc đường thoát nạn của gian phòng, khu vực</t>
  </si>
  <si>
    <t>Điểm b, khoản 4, điều 24, Nghị định số 106/2025/NĐ-CP</t>
  </si>
  <si>
    <t>Không duy trì lối thoát nạn hoặc đường thoát nạn của nhà, công trình</t>
  </si>
  <si>
    <t>Điểm a, khoản 5, điều 24, Nghị định số 106/2025/NĐ-CP</t>
  </si>
  <si>
    <t>Không có đủ lối thoát nạn hoặc đường thoát nạn của nhà, công trình</t>
  </si>
  <si>
    <t>Điểm b, khoản 5, điều 24, Nghị định số 106/2025/NĐ-CP</t>
  </si>
  <si>
    <t>Đình chỉ hoạt động từ 01 tháng đến 03 tháng</t>
  </si>
  <si>
    <t>Buộc tháo gương trên đường thoát nạn</t>
  </si>
  <si>
    <t>Buộc mở cửa theo chiều thoát nạn</t>
  </si>
  <si>
    <t>Buộc di chuyển vật tư, hàng hóa, phương tiện giao thông, vật dụng, thiết bị khác</t>
  </si>
  <si>
    <t>Buộc duy trì lối thoát nạn hoặc đường thoát nạn của gian phòng, khu vực, nhà, công trình</t>
  </si>
  <si>
    <t>Buộc bảo đảm đủ lối thoát nạn hoặc đường thoát nạn của gian phòng, khu vực, nhà, công trình</t>
  </si>
  <si>
    <t>Để vật tư, hàng hóa, phương tiện giao thông, vật dụng, thiết bị khác không bảo đảm khoảng cách phòng cháy, chữa cháy.</t>
  </si>
  <si>
    <t>Vi phạm quy định về ngăn cháy</t>
  </si>
  <si>
    <t>Khoản 1, điều 25, Nghị định số 106/2025/NĐ-CP</t>
  </si>
  <si>
    <t>Không duy trì vật liệu ngăn cháy hoặc cửa ngăn cháy hoặc vách ngăn cháy hoặc màn ngăn cháy hoặc rèm ngăn cháy hoặc vật liệu chống cháy đã được trang bị, lắp đặt</t>
  </si>
  <si>
    <t>Không dọn sạch chất dễ cháy nằm trong hành lang an toàn tuyến ống dẫn dầu mỏ, khí đốt và sản phẩm dầu mỏ</t>
  </si>
  <si>
    <t>Điểm a, khoản 3, điều 25, Nghị định số 106/2025/NĐ-CP</t>
  </si>
  <si>
    <t>Lắp đặt ống dẫn khí cháy, chất lỏng cháy tại khu vực không được phép hoặc không bảo đảm an toàn phòng cháy.</t>
  </si>
  <si>
    <t>Điểm b, khoản 3, điều 25, Nghị định số 106/2025/NĐ-CP</t>
  </si>
  <si>
    <t>Không duy trì khoảng cách phòng cháy, chữa cháy giữa nhà, công trình</t>
  </si>
  <si>
    <t>Không trang bị, lắp đặt vật liệu ngăn cháy hoặc cửa ngăn cháy hoặc vách ngăn cháy hoặc màn ngăn cháy hoặc rèm ngăn cháy hoặc vật liệu chống cháy</t>
  </si>
  <si>
    <t>Xây dựng nhà, công trình không bảo đảm khoảng cách phòng cháy, chữa cháy</t>
  </si>
  <si>
    <t>Khoản 6, điều 25, Nghị định số 106/2025/NĐ-CP</t>
  </si>
  <si>
    <t>Buộc di chuyển vật tư, hàng hóa, phương tiện giao thông, vật dụng, thiết bị khác bảo đảm khoảng cách phòng cháy, chữa cháy</t>
  </si>
  <si>
    <t>Buộc duy trì, lắp đặt vật liệu ngăn cháy hoặc của ngăn cháy hoặc vách ngăn cháy hoặc màn ngăn cháy hoặc rèm ngăn cháy hoặc vật liệu chống cháy</t>
  </si>
  <si>
    <t>Buộc duy trì khoảng cách phòng cháy, chữa cháy</t>
  </si>
  <si>
    <t>Vi phạm quy định về xây dựng, phê duyệt và thực tập phương án chữa cháy, cứu nạn, cứu hộ</t>
  </si>
  <si>
    <t>Xây dựng phương án chữa cháy, cứu nạn, cứu hộ của cơ sở, phương tiện giao thông không bảo đảm nội dung theo quy định</t>
  </si>
  <si>
    <t>Điểm a, khoản 1, điều 26, Nghị định số 106/2025/NĐ-CP</t>
  </si>
  <si>
    <t>Không cập nhật, bổ sung hoặc không chinh lý phương án chữa cháy, cứu nạn, cứu hộ của cơ sở, phương tiện giao thông</t>
  </si>
  <si>
    <t>Không phê duyệt hoặc phê duyệt phương án chữa cháy, cứu nạn, cứu hộ của cơ sở, phương tiện giao thông không đúng thẩm quyền</t>
  </si>
  <si>
    <t>Điểm b, khoản 1, điều 26, Nghị định số 106/2025/NĐ-CP</t>
  </si>
  <si>
    <t>Điểm c, khoản 1, điều 26, Nghị định số 106/2025/NĐ-CP</t>
  </si>
  <si>
    <t>Không thực tập hết các tình huống trong phương án chữa cháy, cứu nạn, cứu hộ của cơ sở, phương tiện giao thông</t>
  </si>
  <si>
    <t>Điểm a, khoản 2, điều 26, Nghị định số 106/2025/NĐ-CP</t>
  </si>
  <si>
    <t>Không bố trí đủ lực lượng hoặc phương tiện thuộc phạm vi quản lý tham gia thực tập phương án chữa cháy, cứu nạn, cứu hộ của cơ quan Công an khi được người có thẩm quyền huy động.</t>
  </si>
  <si>
    <t>Điểm b, khoản 2, điều 26, Nghị định số 106/2025/NĐ-CP</t>
  </si>
  <si>
    <t>Không phối hợp xây dựng phương án chữa cháy, cứu nạn, cứu hộ của cơ quan Công an theo yêu cầu của cơ quan Công an có thẩm quyền</t>
  </si>
  <si>
    <t>Điểm a, khoản 3, điều 26, Nghị định số 106/2025/NĐ-CP</t>
  </si>
  <si>
    <t>Không phối hợp tham gia thực tập phương án chữa cháy, cứu nạn, cứu hộ của cơ quan Công an theo yêu cầu của cơ quan Công an có thẩm quyền</t>
  </si>
  <si>
    <t>Điểm b, khoản 3, điều 26, Nghị định số 106/2025/NĐ-CP</t>
  </si>
  <si>
    <t>Không tổ chức thực tập phương án chữa cháy, cứu nạn, cứu hộ của cơ sở, phương tiện giao thông</t>
  </si>
  <si>
    <t>Khoản 4, điều 26, Nghị định số 106/2025/NĐ-CP</t>
  </si>
  <si>
    <t>Không xây dựng phương án chữa cháy, cứu nạn, cứu hộ của cơ sở, phương tiện giao thông.</t>
  </si>
  <si>
    <t>Khoản 5, điều 26, Nghị định số 106/2025/NĐ-CP</t>
  </si>
  <si>
    <t>Vi phạm quy định về chữa cháy, cứu nạn, cứu hộ</t>
  </si>
  <si>
    <t>Tự ý vào khu vực chữa cháy, cứu nạn, cứu hộ khi không được phép của người có thẩm quyền</t>
  </si>
  <si>
    <t>Khoản 1, điều 27, Nghị định số 106/2025/NĐ-CP</t>
  </si>
  <si>
    <t>Không chấp hành mệnh lệnh hoặc quyết định huy động tham gia chữa cháy, cứu nạn, cứu hộ của người có thẩm quyền</t>
  </si>
  <si>
    <t>Không tổ chức thực hiện khắc phục hậu quả vụ cháy trong điều kiện, khả năng cho phép</t>
  </si>
  <si>
    <t>Điểm a, khoản 2, điều 27, Nghị định số 106/2025/NĐ-CP</t>
  </si>
  <si>
    <t>Điểm b, khoản 2, điều 27, Nghị định số 106/2025/NĐ-CP</t>
  </si>
  <si>
    <t>Ngăn cản hoặc cản trở việc thông tin báo cháy, báo tình huống cứu nạn, cứu hộ.</t>
  </si>
  <si>
    <t>Khoản 3, điều 27, Nghị định số 106/2025/NĐ-CP</t>
  </si>
  <si>
    <t>Lấn chiếm hoặc bố trí vật cản gây cản trở hoạt động của phương tiện chữa cháy, cứu nạn, cứu hộ cơ giới</t>
  </si>
  <si>
    <t>Điểm a, khoản 4, điều 27, Nghị định số 106/2025/NĐ-CP</t>
  </si>
  <si>
    <t>Cố ý báo cháy giả hoặc cố ý báo tình huống cứu nạn, cứu hộ giả</t>
  </si>
  <si>
    <t>Không báo cháy hoặc không báo tình huống cứu nạn, cứu hộ</t>
  </si>
  <si>
    <t>Điểm b, khoản 4, điều 27, Nghị định số 106/2025/NĐ-CP</t>
  </si>
  <si>
    <t>Điểm c, khoản 4, điều 27, Nghị định số 106/2025/NĐ-CP</t>
  </si>
  <si>
    <t>Cản trở lực lượng và phương tiện chữa cháy, cứu nạn, cứu hộ thực hiện chữa cháy, cứu nạn, cứu hộ</t>
  </si>
  <si>
    <t>Điểm a, khoản 5, điều 27, Nghị định số 106/2025/NĐ-CP</t>
  </si>
  <si>
    <t>Lợi dụng việc tham gia chữa cháy, cứu nạn, cứu hộ để xâm phạm đến lợi ích của Nhà nước hoặc quyền, lợi ích hợp pháp của cơ quan, tổ chức, cá nhân</t>
  </si>
  <si>
    <t>Điểm b, khoản 5, điều 27, Nghị định số 106/2025/NĐ-CP</t>
  </si>
  <si>
    <t>Không duy trì đường giao thông cho phương tiện chữa cháy, cứu nạn, cứu hộ hoạt động</t>
  </si>
  <si>
    <t>Khoản 6, điều 27, Nghị định số 106/2025/NĐ-CP</t>
  </si>
  <si>
    <t>Buộc duy trì đường giao thông cho phương tiện chữa cháy, cứu nạn, cứu hộ hoạt động</t>
  </si>
  <si>
    <t>Vi phạm quy định về hệ thống Cơ sở dữ liệu về phòng cháy, chữa cháy, cứu nạn, cứu hộ và truyền tin báo cháy</t>
  </si>
  <si>
    <t>Khai báo không đầy đủ thông tin của cơ sở vào hệ thống Cơ sở dữ liệu về phòng cháy, chứa cháy, cứu nạn, cứu hộ và truyền tin báo cháy theo quy định</t>
  </si>
  <si>
    <t>Điểm a, khoản 1, điều 28, Nghị định số 106/2025/NĐ-CP</t>
  </si>
  <si>
    <t>Khai báo không đầy đủ thông tin của phương tiện phòng cháy, chữa cháy, cứu nạn, cứu hộ, vật liệu, cấu kiện ngăn cháy, chống cháy vào cơ sở dữ liệu của cơ quan quản lý chuyên ngành khi lưu thông phương tiện phòng cháy, chữa cháy, cứu nạn, cứu hộ, vật liệu, cấu kiện ngăn cháy, chống cháy theo quy định</t>
  </si>
  <si>
    <t>Điểm b, khoản 1, điều 28, Nghị định số 106/2025/NĐ-CP</t>
  </si>
  <si>
    <t>Không cập nhật thông tin khi cơ sở có thay đổi so với thông tin đã khai báo trước đó vào hệ thống Cơ sở dữ liệu về phòng cháy, cháy, cứu nạn, cứu hộ và truyền tin báo cháy</t>
  </si>
  <si>
    <t>Điểm a, khoản 2, điều 28, Nghị định số 106/2025/NĐ-CP</t>
  </si>
  <si>
    <t>Không chi trả chi phí duy trì hoạt động của thiết bị truyền tin báo cháy để kết nối với hệ thống Cơ sở dữ liệu về phòng cháy, chữa cháy, cứu nạn, cứu hộ và truyền tin báo cháy</t>
  </si>
  <si>
    <t>Điểm b, khoản 2, điều 28, Nghị định số 106/2025/NĐ-CP</t>
  </si>
  <si>
    <t>Không khai báo thông tin của phương tiện phòng cháy, chữa cháy, cứu nạn, cứu hộ, vật liệu, cấu kiện ngăn cháy, chống cháy vào cơ sở dữ liệu của cơ quan quản lý chuyên ngành khi lưu thông phương tiện phòng cháy, chữa cháy, cứu nạn, cứu hộ, vật liệu, cấu kiện ngăn cháy, chống cháy theo quy định</t>
  </si>
  <si>
    <t>Khoản 3, điều 28, Nghị định số 106/2025/NĐ-CP</t>
  </si>
  <si>
    <t>Không khai báo thông tin của cơ sở vào hệ thống Cơ sở dữ liệu về phòng cháy, chữa cháy, cứu nạn, cứu hộ và truyền tin báo cháy</t>
  </si>
  <si>
    <t>Khoản 4, điều 28, Nghị định số 106/2025/NĐ-CP</t>
  </si>
  <si>
    <t>Cố ý ngắt kết nối hoặc không khắc phục các hư hỏng dẫn đến làm mất khả năng kết nối của thiết bị truyền tin báo cháy với hệ thống Cơ sở dữ liệu về phòng cháy, chữa cháy, cứu nạn, cứu hộ và truyền tin báo cháy</t>
  </si>
  <si>
    <t>Khoản 5, điều 28, Nghị định số 106/2025/NĐ-CP</t>
  </si>
  <si>
    <t>Không trang bị, lắp đặt thiết bị truyền tin báo cháy</t>
  </si>
  <si>
    <t>Điểm a, khoản 6, điều 28, Nghị định số 106/2025/NĐ-CP</t>
  </si>
  <si>
    <t>Không kết nối thiết bị truyền tin báo cháy với hệ thống Cơ sở dữ liệu về phòng cháy, chữa cháy, cứu nạn, cứu hộ và truyền tin báo cháy theo quy định</t>
  </si>
  <si>
    <t>Điểm b, khoản 6, điều 28, Nghị định số 106/2025/NĐ-CP</t>
  </si>
  <si>
    <t>Cán bộ</t>
  </si>
  <si>
    <t>Trưởng phòng</t>
  </si>
  <si>
    <t>Đội trưởng</t>
  </si>
  <si>
    <t>Giám đốc</t>
  </si>
  <si>
    <t>Điều 4, Nghị định số 69/2026/NĐ-CP
(Sửa đổi, bổ sung khoản 4 Điều 6, NĐ số 106/2025/NĐ-CP)</t>
  </si>
  <si>
    <t>Khoản 1, điều 5, Nghị định số 69/2026/NĐ-CP
(Sửa đổi, bổ sung điểm a, khoản 1, điều 10, NĐ số 106/2025/NĐ-CP)</t>
  </si>
  <si>
    <t>Khoản 2, điều 5, Nghị định số 69/2026/NĐ-CP
(Sửa đổi, bổ sung điểm a, khoản 2, điều 10, NĐ số 106/2025/NĐ-CP)</t>
  </si>
  <si>
    <t>Khoản 1, điều 6, Nghị định số 69/2026/NĐ-CP
(Sửa đổi, bổ sung điểm a, khoản 1, điều 17, NĐ số 106/2025/NĐ-CP)</t>
  </si>
  <si>
    <t>Khoản 1, điều 8, Nghị định số 69/2026/NĐ-CP
(Bổ sung điểm c, khoản 8, điều 20, NĐ số 106/2025/NĐ-CP)</t>
  </si>
  <si>
    <t>Khoản 1, điều 9, Nghị định số 69/2026/NĐ-CP
(Sửa đổi, bổ sung khoản 2, điều 21, NĐ số 106/2025/NĐ-CP)</t>
  </si>
  <si>
    <t>Khoản 1, điều 9, Nghị định số 69/2026/NĐ-CP
(Bổ sung điểm b, khoản 2, điều 21, NĐ số 106/2025/NĐ-CP)</t>
  </si>
  <si>
    <t>Khoản 1, điều 12, Nghị định số 69/2026/NĐ-CP
(Sửa đổi, bổ sung khoản 2, điều 25, NĐ số 106/2025/NĐ-CP)</t>
  </si>
  <si>
    <t>Khoản 2, điều 12, Nghị định số 69/2026/NĐ-CP
(Sửa đổi, bổ sung khoản 4, điều 25, NĐ số 106/2025/NĐ-CP)</t>
  </si>
  <si>
    <t>Khoản 3, điều 12, Nghị định số 69/2026/NĐ-CP
(Sửa đổi, bổ sung khoản 5, điều 25, NĐ số 106/2025/NĐ-CP)</t>
  </si>
  <si>
    <t>Lỗi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</si>
</sst>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1"/>
      <name val="Times New Roman"/>
      <family val="1"/>
    </font>
    <font>
      <b/>
      <sz val="14"/>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3" fontId="1" fillId="0" borderId="0" xfId="0" applyNumberFormat="1"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3" fontId="1" fillId="0" borderId="1" xfId="0" applyNumberFormat="1" applyFont="1" applyBorder="1" applyAlignment="1">
      <alignment horizontal="center" vertical="center" wrapText="1"/>
    </xf>
    <xf numFmtId="0" fontId="1" fillId="0" borderId="1" xfId="0" applyFont="1" applyBorder="1" applyAlignment="1">
      <alignment horizontal="center" vertical="center"/>
    </xf>
    <xf numFmtId="3" fontId="1" fillId="0" borderId="1" xfId="0" applyNumberFormat="1" applyFont="1" applyBorder="1" applyAlignment="1">
      <alignment horizontal="center" vertical="center"/>
    </xf>
    <xf numFmtId="0" fontId="1" fillId="0" borderId="1" xfId="0" quotePrefix="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52"/>
  <sheetViews>
    <sheetView tabSelected="1" zoomScale="80" zoomScaleNormal="80" workbookViewId="0">
      <pane ySplit="1" topLeftCell="A2" activePane="bottomLeft" state="frozen"/>
      <selection pane="bottomLeft" sqref="A1:XFD3"/>
    </sheetView>
  </sheetViews>
  <sheetFormatPr defaultRowHeight="18" x14ac:dyDescent="0.3"/>
  <cols>
    <col min="1" max="1" width="11.88671875" style="1" bestFit="1" customWidth="1"/>
    <col min="2" max="2" width="11.88671875" style="1" customWidth="1"/>
    <col min="3" max="3" width="49.109375" style="2" bestFit="1" customWidth="1"/>
    <col min="4" max="4" width="63.88671875" style="2" customWidth="1"/>
    <col min="5" max="5" width="17.77734375" style="3" bestFit="1" customWidth="1"/>
    <col min="6" max="6" width="23.33203125" style="3" bestFit="1" customWidth="1"/>
    <col min="7" max="7" width="17.21875" style="1" customWidth="1"/>
    <col min="8" max="8" width="27.44140625" style="2" bestFit="1" customWidth="1"/>
    <col min="9" max="9" width="25.5546875" style="2" customWidth="1"/>
    <col min="10" max="10" width="28.21875" style="2" bestFit="1" customWidth="1"/>
    <col min="11" max="11" width="27.109375" style="1" customWidth="1"/>
    <col min="12" max="16384" width="8.88671875" style="1"/>
  </cols>
  <sheetData>
    <row r="1" spans="1:11" s="4" customFormat="1" ht="34.799999999999997" x14ac:dyDescent="0.3">
      <c r="A1" s="5" t="s">
        <v>0</v>
      </c>
      <c r="B1" s="5" t="s">
        <v>383</v>
      </c>
      <c r="C1" s="5" t="s">
        <v>1</v>
      </c>
      <c r="D1" s="5" t="s">
        <v>2</v>
      </c>
      <c r="E1" s="6" t="s">
        <v>3</v>
      </c>
      <c r="F1" s="6" t="s">
        <v>4</v>
      </c>
      <c r="G1" s="5" t="s">
        <v>5</v>
      </c>
      <c r="H1" s="5" t="s">
        <v>6</v>
      </c>
      <c r="I1" s="5" t="s">
        <v>7</v>
      </c>
      <c r="J1" s="5" t="s">
        <v>8</v>
      </c>
      <c r="K1" s="7" t="s">
        <v>71</v>
      </c>
    </row>
    <row r="2" spans="1:11" ht="72" x14ac:dyDescent="0.3">
      <c r="A2" s="8">
        <f>IF(C2="","",SUBTOTAL(103,$C$2:C2))</f>
        <v>1</v>
      </c>
      <c r="B2" s="8"/>
      <c r="C2" s="8" t="s">
        <v>9</v>
      </c>
      <c r="D2" s="8" t="s">
        <v>16</v>
      </c>
      <c r="E2" s="9">
        <v>300000</v>
      </c>
      <c r="F2" s="9">
        <v>500000</v>
      </c>
      <c r="G2" s="8" t="s">
        <v>371</v>
      </c>
      <c r="H2" s="8"/>
      <c r="I2" s="8" t="s">
        <v>17</v>
      </c>
      <c r="J2" s="8" t="s">
        <v>10</v>
      </c>
      <c r="K2" s="10"/>
    </row>
    <row r="3" spans="1:11" ht="72" x14ac:dyDescent="0.3">
      <c r="A3" s="8">
        <f>IF(C3="","",SUBTOTAL(103,$C$2:C3))</f>
        <v>2</v>
      </c>
      <c r="B3" s="8"/>
      <c r="C3" s="8" t="s">
        <v>9</v>
      </c>
      <c r="D3" s="8" t="s">
        <v>15</v>
      </c>
      <c r="E3" s="9">
        <v>1000000</v>
      </c>
      <c r="F3" s="9">
        <v>3000000</v>
      </c>
      <c r="G3" s="8" t="s">
        <v>369</v>
      </c>
      <c r="H3" s="8"/>
      <c r="I3" s="8"/>
      <c r="J3" s="8" t="s">
        <v>11</v>
      </c>
      <c r="K3" s="10"/>
    </row>
    <row r="4" spans="1:11" ht="90" x14ac:dyDescent="0.3">
      <c r="A4" s="8">
        <f>IF(C4="","",SUBTOTAL(103,$C$2:C4))</f>
        <v>3</v>
      </c>
      <c r="B4" s="8"/>
      <c r="C4" s="8" t="s">
        <v>9</v>
      </c>
      <c r="D4" s="8" t="s">
        <v>14</v>
      </c>
      <c r="E4" s="9">
        <v>4000000</v>
      </c>
      <c r="F4" s="9">
        <v>6000000</v>
      </c>
      <c r="G4" s="8" t="s">
        <v>370</v>
      </c>
      <c r="H4" s="8"/>
      <c r="I4" s="8" t="s">
        <v>18</v>
      </c>
      <c r="J4" s="8" t="s">
        <v>12</v>
      </c>
      <c r="K4" s="10"/>
    </row>
    <row r="5" spans="1:11" ht="108" x14ac:dyDescent="0.3">
      <c r="A5" s="8">
        <f>IF(C5="","",SUBTOTAL(103,$C$2:C5))</f>
        <v>4</v>
      </c>
      <c r="B5" s="8"/>
      <c r="C5" s="8" t="s">
        <v>9</v>
      </c>
      <c r="D5" s="8" t="s">
        <v>13</v>
      </c>
      <c r="E5" s="9">
        <v>6000000</v>
      </c>
      <c r="F5" s="9">
        <v>8000000</v>
      </c>
      <c r="G5" s="8" t="s">
        <v>370</v>
      </c>
      <c r="H5" s="8"/>
      <c r="I5" s="8" t="s">
        <v>19</v>
      </c>
      <c r="J5" s="8" t="s">
        <v>373</v>
      </c>
      <c r="K5" s="10"/>
    </row>
    <row r="6" spans="1:11" ht="72" x14ac:dyDescent="0.3">
      <c r="A6" s="8">
        <f>IF(C6="","",SUBTOTAL(103,$C$2:C6))</f>
        <v>5</v>
      </c>
      <c r="B6" s="8"/>
      <c r="C6" s="8" t="s">
        <v>20</v>
      </c>
      <c r="D6" s="8" t="s">
        <v>21</v>
      </c>
      <c r="E6" s="11">
        <v>1000000</v>
      </c>
      <c r="F6" s="11">
        <v>3000000</v>
      </c>
      <c r="G6" s="8" t="s">
        <v>369</v>
      </c>
      <c r="H6" s="8"/>
      <c r="I6" s="8"/>
      <c r="J6" s="8" t="s">
        <v>22</v>
      </c>
      <c r="K6" s="10"/>
    </row>
    <row r="7" spans="1:11" ht="54" x14ac:dyDescent="0.3">
      <c r="A7" s="8">
        <f>IF(C7="","",SUBTOTAL(103,$C$2:C7))</f>
        <v>6</v>
      </c>
      <c r="B7" s="8"/>
      <c r="C7" s="8" t="s">
        <v>20</v>
      </c>
      <c r="D7" s="8" t="s">
        <v>23</v>
      </c>
      <c r="E7" s="11">
        <v>1000000</v>
      </c>
      <c r="F7" s="11">
        <v>3000000</v>
      </c>
      <c r="G7" s="8" t="s">
        <v>369</v>
      </c>
      <c r="H7" s="8"/>
      <c r="I7" s="8"/>
      <c r="J7" s="8" t="s">
        <v>24</v>
      </c>
      <c r="K7" s="10"/>
    </row>
    <row r="8" spans="1:11" ht="54" x14ac:dyDescent="0.3">
      <c r="A8" s="8">
        <f>IF(C8="","",SUBTOTAL(103,$C$2:C8))</f>
        <v>7</v>
      </c>
      <c r="B8" s="8"/>
      <c r="C8" s="8" t="s">
        <v>20</v>
      </c>
      <c r="D8" s="8" t="s">
        <v>25</v>
      </c>
      <c r="E8" s="11">
        <v>4000000</v>
      </c>
      <c r="F8" s="11">
        <v>6000000</v>
      </c>
      <c r="G8" s="8" t="s">
        <v>371</v>
      </c>
      <c r="H8" s="8"/>
      <c r="I8" s="8"/>
      <c r="J8" s="8" t="s">
        <v>26</v>
      </c>
      <c r="K8" s="10"/>
    </row>
    <row r="9" spans="1:11" ht="54" x14ac:dyDescent="0.3">
      <c r="A9" s="8">
        <f>IF(C9="","",SUBTOTAL(103,$C$2:C9))</f>
        <v>8</v>
      </c>
      <c r="B9" s="8"/>
      <c r="C9" s="8" t="s">
        <v>20</v>
      </c>
      <c r="D9" s="8" t="s">
        <v>27</v>
      </c>
      <c r="E9" s="11">
        <v>6000000</v>
      </c>
      <c r="F9" s="11">
        <v>8000000</v>
      </c>
      <c r="G9" s="8" t="s">
        <v>371</v>
      </c>
      <c r="H9" s="8"/>
      <c r="I9" s="8"/>
      <c r="J9" s="8" t="s">
        <v>28</v>
      </c>
      <c r="K9" s="10"/>
    </row>
    <row r="10" spans="1:11" ht="108" x14ac:dyDescent="0.3">
      <c r="A10" s="8">
        <f>IF(C10="","",SUBTOTAL(103,$C$2:C10))</f>
        <v>9</v>
      </c>
      <c r="B10" s="8"/>
      <c r="C10" s="8" t="s">
        <v>29</v>
      </c>
      <c r="D10" s="8" t="s">
        <v>30</v>
      </c>
      <c r="E10" s="11">
        <v>3000000</v>
      </c>
      <c r="F10" s="11">
        <v>5000000</v>
      </c>
      <c r="G10" s="8" t="s">
        <v>369</v>
      </c>
      <c r="H10" s="8"/>
      <c r="I10" s="8"/>
      <c r="J10" s="8" t="s">
        <v>31</v>
      </c>
      <c r="K10" s="10"/>
    </row>
    <row r="11" spans="1:11" ht="108" x14ac:dyDescent="0.3">
      <c r="A11" s="8">
        <f>IF(C11="","",SUBTOTAL(103,$C$2:C11))</f>
        <v>10</v>
      </c>
      <c r="B11" s="8"/>
      <c r="C11" s="8" t="s">
        <v>29</v>
      </c>
      <c r="D11" s="8" t="s">
        <v>34</v>
      </c>
      <c r="E11" s="11">
        <v>3000000</v>
      </c>
      <c r="F11" s="11">
        <v>5000000</v>
      </c>
      <c r="G11" s="8" t="s">
        <v>369</v>
      </c>
      <c r="H11" s="8"/>
      <c r="I11" s="8"/>
      <c r="J11" s="8" t="s">
        <v>32</v>
      </c>
      <c r="K11" s="10"/>
    </row>
    <row r="12" spans="1:11" ht="108" x14ac:dyDescent="0.3">
      <c r="A12" s="8">
        <f>IF(C12="","",SUBTOTAL(103,$C$2:C12))</f>
        <v>11</v>
      </c>
      <c r="B12" s="8"/>
      <c r="C12" s="8" t="s">
        <v>29</v>
      </c>
      <c r="D12" s="8" t="s">
        <v>33</v>
      </c>
      <c r="E12" s="11">
        <v>6000000</v>
      </c>
      <c r="F12" s="11">
        <v>8000000</v>
      </c>
      <c r="G12" s="8" t="s">
        <v>371</v>
      </c>
      <c r="H12" s="8"/>
      <c r="I12" s="8"/>
      <c r="J12" s="8" t="s">
        <v>35</v>
      </c>
      <c r="K12" s="10"/>
    </row>
    <row r="13" spans="1:11" ht="108" x14ac:dyDescent="0.3">
      <c r="A13" s="8">
        <f>IF(C13="","",SUBTOTAL(103,$C$2:C13))</f>
        <v>12</v>
      </c>
      <c r="B13" s="8"/>
      <c r="C13" s="8" t="s">
        <v>29</v>
      </c>
      <c r="D13" s="8" t="s">
        <v>36</v>
      </c>
      <c r="E13" s="11">
        <v>6000000</v>
      </c>
      <c r="F13" s="11">
        <v>8000000</v>
      </c>
      <c r="G13" s="8" t="s">
        <v>371</v>
      </c>
      <c r="H13" s="8"/>
      <c r="I13" s="8"/>
      <c r="J13" s="8" t="s">
        <v>37</v>
      </c>
      <c r="K13" s="10"/>
    </row>
    <row r="14" spans="1:11" ht="108" x14ac:dyDescent="0.3">
      <c r="A14" s="8">
        <f>IF(C14="","",SUBTOTAL(103,$C$2:C14))</f>
        <v>13</v>
      </c>
      <c r="B14" s="8"/>
      <c r="C14" s="8" t="s">
        <v>29</v>
      </c>
      <c r="D14" s="8" t="s">
        <v>38</v>
      </c>
      <c r="E14" s="11">
        <v>8000000</v>
      </c>
      <c r="F14" s="11">
        <v>10000000</v>
      </c>
      <c r="G14" s="8" t="s">
        <v>371</v>
      </c>
      <c r="H14" s="8"/>
      <c r="I14" s="8"/>
      <c r="J14" s="8" t="s">
        <v>39</v>
      </c>
      <c r="K14" s="10"/>
    </row>
    <row r="15" spans="1:11" ht="108" x14ac:dyDescent="0.3">
      <c r="A15" s="8">
        <f>IF(C15="","",SUBTOTAL(103,$C$2:C15))</f>
        <v>14</v>
      </c>
      <c r="B15" s="8"/>
      <c r="C15" s="8" t="s">
        <v>29</v>
      </c>
      <c r="D15" s="8" t="s">
        <v>40</v>
      </c>
      <c r="E15" s="11">
        <v>10000000</v>
      </c>
      <c r="F15" s="11">
        <v>20000000</v>
      </c>
      <c r="G15" s="8" t="s">
        <v>370</v>
      </c>
      <c r="H15" s="8"/>
      <c r="I15" s="8"/>
      <c r="J15" s="8" t="s">
        <v>41</v>
      </c>
      <c r="K15" s="10"/>
    </row>
    <row r="16" spans="1:11" ht="108" x14ac:dyDescent="0.3">
      <c r="A16" s="8">
        <f>IF(C16="","",SUBTOTAL(103,$C$2:C16))</f>
        <v>15</v>
      </c>
      <c r="B16" s="8"/>
      <c r="C16" s="8" t="s">
        <v>29</v>
      </c>
      <c r="D16" s="8" t="s">
        <v>42</v>
      </c>
      <c r="E16" s="11">
        <v>20000000</v>
      </c>
      <c r="F16" s="11">
        <v>30000000</v>
      </c>
      <c r="G16" s="8" t="s">
        <v>370</v>
      </c>
      <c r="H16" s="8"/>
      <c r="I16" s="8"/>
      <c r="J16" s="8" t="s">
        <v>43</v>
      </c>
      <c r="K16" s="10"/>
    </row>
    <row r="17" spans="1:11" ht="36" x14ac:dyDescent="0.3">
      <c r="A17" s="8">
        <f>IF(C17="","",SUBTOTAL(103,$C$2:C17))</f>
        <v>16</v>
      </c>
      <c r="B17" s="8"/>
      <c r="C17" s="8" t="s">
        <v>44</v>
      </c>
      <c r="D17" s="8" t="s">
        <v>45</v>
      </c>
      <c r="E17" s="11">
        <v>1000000</v>
      </c>
      <c r="F17" s="11">
        <v>3000000</v>
      </c>
      <c r="G17" s="8" t="s">
        <v>369</v>
      </c>
      <c r="H17" s="8"/>
      <c r="I17" s="8"/>
      <c r="J17" s="8" t="s">
        <v>46</v>
      </c>
      <c r="K17" s="10"/>
    </row>
    <row r="18" spans="1:11" ht="36" x14ac:dyDescent="0.3">
      <c r="A18" s="8">
        <f>IF(C18="","",SUBTOTAL(103,$C$2:C18))</f>
        <v>17</v>
      </c>
      <c r="B18" s="8"/>
      <c r="C18" s="8" t="s">
        <v>44</v>
      </c>
      <c r="D18" s="8" t="s">
        <v>47</v>
      </c>
      <c r="E18" s="11">
        <v>5000000</v>
      </c>
      <c r="F18" s="11">
        <v>7000000</v>
      </c>
      <c r="G18" s="8" t="s">
        <v>371</v>
      </c>
      <c r="H18" s="8"/>
      <c r="I18" s="8"/>
      <c r="J18" s="8" t="s">
        <v>48</v>
      </c>
      <c r="K18" s="10"/>
    </row>
    <row r="19" spans="1:11" ht="90" x14ac:dyDescent="0.3">
      <c r="A19" s="8">
        <f>IF(C19="","",SUBTOTAL(103,$C$2:C19))</f>
        <v>18</v>
      </c>
      <c r="B19" s="8"/>
      <c r="C19" s="8" t="s">
        <v>49</v>
      </c>
      <c r="D19" s="8" t="s">
        <v>50</v>
      </c>
      <c r="E19" s="11">
        <v>3000000</v>
      </c>
      <c r="F19" s="11">
        <v>5000000</v>
      </c>
      <c r="G19" s="8" t="s">
        <v>369</v>
      </c>
      <c r="H19" s="8"/>
      <c r="I19" s="8"/>
      <c r="J19" s="8" t="s">
        <v>374</v>
      </c>
      <c r="K19" s="10"/>
    </row>
    <row r="20" spans="1:11" ht="54" x14ac:dyDescent="0.3">
      <c r="A20" s="8">
        <f>IF(C20="","",SUBTOTAL(103,$C$2:C20))</f>
        <v>19</v>
      </c>
      <c r="B20" s="8"/>
      <c r="C20" s="8" t="s">
        <v>49</v>
      </c>
      <c r="D20" s="8" t="s">
        <v>51</v>
      </c>
      <c r="E20" s="11">
        <v>3000000</v>
      </c>
      <c r="F20" s="11">
        <v>5000000</v>
      </c>
      <c r="G20" s="8" t="s">
        <v>369</v>
      </c>
      <c r="H20" s="8"/>
      <c r="I20" s="8"/>
      <c r="J20" s="8" t="s">
        <v>53</v>
      </c>
      <c r="K20" s="10"/>
    </row>
    <row r="21" spans="1:11" ht="54" x14ac:dyDescent="0.3">
      <c r="A21" s="8">
        <f>IF(C21="","",SUBTOTAL(103,$C$2:C21))</f>
        <v>20</v>
      </c>
      <c r="B21" s="8"/>
      <c r="C21" s="8" t="s">
        <v>49</v>
      </c>
      <c r="D21" s="8" t="s">
        <v>52</v>
      </c>
      <c r="E21" s="11">
        <v>3000000</v>
      </c>
      <c r="F21" s="11">
        <v>5000000</v>
      </c>
      <c r="G21" s="8" t="s">
        <v>369</v>
      </c>
      <c r="H21" s="8"/>
      <c r="I21" s="8"/>
      <c r="J21" s="8" t="s">
        <v>54</v>
      </c>
      <c r="K21" s="10"/>
    </row>
    <row r="22" spans="1:11" ht="90" x14ac:dyDescent="0.3">
      <c r="A22" s="8">
        <f>IF(C22="","",SUBTOTAL(103,$C$2:C22))</f>
        <v>21</v>
      </c>
      <c r="B22" s="8"/>
      <c r="C22" s="8" t="s">
        <v>49</v>
      </c>
      <c r="D22" s="8" t="s">
        <v>55</v>
      </c>
      <c r="E22" s="11">
        <v>5000000</v>
      </c>
      <c r="F22" s="11">
        <v>10000000</v>
      </c>
      <c r="G22" s="8" t="s">
        <v>371</v>
      </c>
      <c r="H22" s="8"/>
      <c r="I22" s="8"/>
      <c r="J22" s="8" t="s">
        <v>375</v>
      </c>
      <c r="K22" s="10"/>
    </row>
    <row r="23" spans="1:11" ht="54" x14ac:dyDescent="0.3">
      <c r="A23" s="8">
        <f>IF(C23="","",SUBTOTAL(103,$C$2:C23))</f>
        <v>22</v>
      </c>
      <c r="B23" s="8"/>
      <c r="C23" s="8" t="s">
        <v>49</v>
      </c>
      <c r="D23" s="8" t="s">
        <v>56</v>
      </c>
      <c r="E23" s="11">
        <v>5000000</v>
      </c>
      <c r="F23" s="11">
        <v>10000000</v>
      </c>
      <c r="G23" s="8" t="s">
        <v>371</v>
      </c>
      <c r="H23" s="8"/>
      <c r="I23" s="8"/>
      <c r="J23" s="8" t="s">
        <v>57</v>
      </c>
      <c r="K23" s="10"/>
    </row>
    <row r="24" spans="1:11" ht="36" x14ac:dyDescent="0.3">
      <c r="A24" s="8">
        <f>IF(C24="","",SUBTOTAL(103,$C$2:C24))</f>
        <v>23</v>
      </c>
      <c r="B24" s="8"/>
      <c r="C24" s="8" t="s">
        <v>49</v>
      </c>
      <c r="D24" s="8" t="s">
        <v>58</v>
      </c>
      <c r="E24" s="11">
        <v>10000000</v>
      </c>
      <c r="F24" s="11">
        <v>20000000</v>
      </c>
      <c r="G24" s="8" t="s">
        <v>370</v>
      </c>
      <c r="H24" s="8"/>
      <c r="I24" s="8"/>
      <c r="J24" s="8" t="s">
        <v>59</v>
      </c>
      <c r="K24" s="10"/>
    </row>
    <row r="25" spans="1:11" ht="72" x14ac:dyDescent="0.3">
      <c r="A25" s="8">
        <f>IF(C25="","",SUBTOTAL(103,$C$2:C25))</f>
        <v>24</v>
      </c>
      <c r="B25" s="8"/>
      <c r="C25" s="8" t="s">
        <v>49</v>
      </c>
      <c r="D25" s="8" t="s">
        <v>60</v>
      </c>
      <c r="E25" s="11">
        <v>20000000</v>
      </c>
      <c r="F25" s="11">
        <v>30000000</v>
      </c>
      <c r="G25" s="8" t="s">
        <v>370</v>
      </c>
      <c r="H25" s="8"/>
      <c r="I25" s="8"/>
      <c r="J25" s="8" t="s">
        <v>61</v>
      </c>
      <c r="K25" s="10"/>
    </row>
    <row r="26" spans="1:11" ht="54" x14ac:dyDescent="0.3">
      <c r="A26" s="8">
        <f>IF(C26="","",SUBTOTAL(103,$C$2:C26))</f>
        <v>25</v>
      </c>
      <c r="B26" s="8"/>
      <c r="C26" s="8" t="s">
        <v>49</v>
      </c>
      <c r="D26" s="8" t="s">
        <v>62</v>
      </c>
      <c r="E26" s="11">
        <v>20000000</v>
      </c>
      <c r="F26" s="11">
        <v>30000000</v>
      </c>
      <c r="G26" s="8" t="s">
        <v>370</v>
      </c>
      <c r="H26" s="8"/>
      <c r="I26" s="8"/>
      <c r="J26" s="8" t="s">
        <v>63</v>
      </c>
      <c r="K26" s="10"/>
    </row>
    <row r="27" spans="1:11" ht="90" x14ac:dyDescent="0.3">
      <c r="A27" s="8">
        <f>IF(C27="","",SUBTOTAL(103,$C$2:C27))</f>
        <v>26</v>
      </c>
      <c r="B27" s="8"/>
      <c r="C27" s="8" t="s">
        <v>64</v>
      </c>
      <c r="D27" s="8" t="s">
        <v>65</v>
      </c>
      <c r="E27" s="11">
        <v>5000000</v>
      </c>
      <c r="F27" s="11">
        <v>10000000</v>
      </c>
      <c r="G27" s="8" t="s">
        <v>371</v>
      </c>
      <c r="H27" s="8"/>
      <c r="I27" s="8"/>
      <c r="J27" s="8" t="s">
        <v>66</v>
      </c>
      <c r="K27" s="8" t="s">
        <v>72</v>
      </c>
    </row>
    <row r="28" spans="1:11" ht="90" x14ac:dyDescent="0.3">
      <c r="A28" s="8">
        <f>IF(C28="","",SUBTOTAL(103,$C$2:C28))</f>
        <v>27</v>
      </c>
      <c r="B28" s="8"/>
      <c r="C28" s="8" t="s">
        <v>64</v>
      </c>
      <c r="D28" s="8" t="s">
        <v>67</v>
      </c>
      <c r="E28" s="11">
        <v>20000000</v>
      </c>
      <c r="F28" s="11">
        <v>25000000</v>
      </c>
      <c r="G28" s="8" t="s">
        <v>370</v>
      </c>
      <c r="H28" s="8"/>
      <c r="I28" s="8"/>
      <c r="J28" s="8" t="s">
        <v>68</v>
      </c>
      <c r="K28" s="8" t="s">
        <v>72</v>
      </c>
    </row>
    <row r="29" spans="1:11" ht="90" x14ac:dyDescent="0.3">
      <c r="A29" s="8">
        <f>IF(C29="","",SUBTOTAL(103,$C$2:C29))</f>
        <v>28</v>
      </c>
      <c r="B29" s="8"/>
      <c r="C29" s="8" t="s">
        <v>64</v>
      </c>
      <c r="D29" s="8" t="s">
        <v>69</v>
      </c>
      <c r="E29" s="11">
        <v>20000000</v>
      </c>
      <c r="F29" s="11">
        <v>25000000</v>
      </c>
      <c r="G29" s="8" t="s">
        <v>370</v>
      </c>
      <c r="H29" s="8"/>
      <c r="I29" s="8"/>
      <c r="J29" s="8" t="s">
        <v>70</v>
      </c>
      <c r="K29" s="8" t="s">
        <v>72</v>
      </c>
    </row>
    <row r="30" spans="1:11" ht="90" x14ac:dyDescent="0.3">
      <c r="A30" s="8">
        <f>IF(C30="","",SUBTOTAL(103,$C$2:C30))</f>
        <v>29</v>
      </c>
      <c r="B30" s="8"/>
      <c r="C30" s="8" t="s">
        <v>73</v>
      </c>
      <c r="D30" s="8" t="s">
        <v>74</v>
      </c>
      <c r="E30" s="11">
        <v>6000000</v>
      </c>
      <c r="F30" s="11">
        <v>8000000</v>
      </c>
      <c r="G30" s="8" t="s">
        <v>371</v>
      </c>
      <c r="H30" s="8"/>
      <c r="I30" s="8"/>
      <c r="J30" s="8" t="s">
        <v>75</v>
      </c>
      <c r="K30" s="8" t="s">
        <v>72</v>
      </c>
    </row>
    <row r="31" spans="1:11" ht="90" x14ac:dyDescent="0.3">
      <c r="A31" s="8">
        <f>IF(C31="","",SUBTOTAL(103,$C$2:C31))</f>
        <v>30</v>
      </c>
      <c r="B31" s="8"/>
      <c r="C31" s="8" t="s">
        <v>73</v>
      </c>
      <c r="D31" s="8" t="s">
        <v>76</v>
      </c>
      <c r="E31" s="11">
        <v>10000000</v>
      </c>
      <c r="F31" s="11">
        <v>15000000</v>
      </c>
      <c r="G31" s="8" t="s">
        <v>371</v>
      </c>
      <c r="H31" s="8"/>
      <c r="I31" s="8"/>
      <c r="J31" s="8" t="s">
        <v>77</v>
      </c>
      <c r="K31" s="8" t="s">
        <v>72</v>
      </c>
    </row>
    <row r="32" spans="1:11" ht="90" x14ac:dyDescent="0.3">
      <c r="A32" s="8">
        <f>IF(C32="","",SUBTOTAL(103,$C$2:C32))</f>
        <v>31</v>
      </c>
      <c r="B32" s="8"/>
      <c r="C32" s="8" t="s">
        <v>73</v>
      </c>
      <c r="D32" s="8" t="s">
        <v>78</v>
      </c>
      <c r="E32" s="11">
        <v>20000000</v>
      </c>
      <c r="F32" s="11">
        <v>25000000</v>
      </c>
      <c r="G32" s="8" t="s">
        <v>370</v>
      </c>
      <c r="H32" s="8"/>
      <c r="I32" s="8"/>
      <c r="J32" s="8" t="s">
        <v>79</v>
      </c>
      <c r="K32" s="8" t="s">
        <v>72</v>
      </c>
    </row>
    <row r="33" spans="1:11" ht="54" x14ac:dyDescent="0.3">
      <c r="A33" s="8">
        <f>IF(C33="","",SUBTOTAL(103,$C$2:C33))</f>
        <v>32</v>
      </c>
      <c r="B33" s="8"/>
      <c r="C33" s="8" t="s">
        <v>73</v>
      </c>
      <c r="D33" s="8" t="s">
        <v>80</v>
      </c>
      <c r="E33" s="11">
        <v>40000000</v>
      </c>
      <c r="F33" s="11">
        <v>50000000</v>
      </c>
      <c r="G33" s="10" t="s">
        <v>372</v>
      </c>
      <c r="H33" s="8"/>
      <c r="I33" s="8" t="s">
        <v>86</v>
      </c>
      <c r="J33" s="8" t="s">
        <v>81</v>
      </c>
      <c r="K33" s="10"/>
    </row>
    <row r="34" spans="1:11" ht="54" x14ac:dyDescent="0.3">
      <c r="A34" s="8">
        <f>IF(C34="","",SUBTOTAL(103,$C$2:C34))</f>
        <v>33</v>
      </c>
      <c r="B34" s="8"/>
      <c r="C34" s="8" t="s">
        <v>73</v>
      </c>
      <c r="D34" s="8" t="s">
        <v>82</v>
      </c>
      <c r="E34" s="11">
        <v>40000000</v>
      </c>
      <c r="F34" s="11">
        <v>50000000</v>
      </c>
      <c r="G34" s="10" t="s">
        <v>372</v>
      </c>
      <c r="H34" s="8"/>
      <c r="I34" s="8"/>
      <c r="J34" s="8" t="s">
        <v>84</v>
      </c>
      <c r="K34" s="10"/>
    </row>
    <row r="35" spans="1:11" ht="54" x14ac:dyDescent="0.3">
      <c r="A35" s="8">
        <f>IF(C35="","",SUBTOTAL(103,$C$2:C35))</f>
        <v>34</v>
      </c>
      <c r="B35" s="8"/>
      <c r="C35" s="8" t="s">
        <v>73</v>
      </c>
      <c r="D35" s="8" t="s">
        <v>83</v>
      </c>
      <c r="E35" s="11">
        <v>40000000</v>
      </c>
      <c r="F35" s="11">
        <v>50000000</v>
      </c>
      <c r="G35" s="10" t="s">
        <v>372</v>
      </c>
      <c r="H35" s="8"/>
      <c r="I35" s="8"/>
      <c r="J35" s="8" t="s">
        <v>85</v>
      </c>
      <c r="K35" s="10"/>
    </row>
    <row r="36" spans="1:11" ht="90" x14ac:dyDescent="0.3">
      <c r="A36" s="8">
        <f>IF(C36="","",SUBTOTAL(103,$C$2:C36))</f>
        <v>35</v>
      </c>
      <c r="B36" s="8"/>
      <c r="C36" s="8" t="s">
        <v>87</v>
      </c>
      <c r="D36" s="8" t="s">
        <v>88</v>
      </c>
      <c r="E36" s="11">
        <v>1000000</v>
      </c>
      <c r="F36" s="11">
        <v>3000000</v>
      </c>
      <c r="G36" s="8" t="s">
        <v>369</v>
      </c>
      <c r="H36" s="8"/>
      <c r="I36" s="8"/>
      <c r="J36" s="8" t="s">
        <v>89</v>
      </c>
      <c r="K36" s="8" t="s">
        <v>72</v>
      </c>
    </row>
    <row r="37" spans="1:11" ht="90" x14ac:dyDescent="0.3">
      <c r="A37" s="8">
        <f>IF(C37="","",SUBTOTAL(103,$C$2:C37))</f>
        <v>36</v>
      </c>
      <c r="B37" s="8"/>
      <c r="C37" s="8" t="s">
        <v>87</v>
      </c>
      <c r="D37" s="8" t="s">
        <v>90</v>
      </c>
      <c r="E37" s="11">
        <v>10000000</v>
      </c>
      <c r="F37" s="11">
        <v>15000000</v>
      </c>
      <c r="G37" s="8" t="s">
        <v>371</v>
      </c>
      <c r="H37" s="8"/>
      <c r="I37" s="8"/>
      <c r="J37" s="8" t="s">
        <v>91</v>
      </c>
      <c r="K37" s="8" t="s">
        <v>72</v>
      </c>
    </row>
    <row r="38" spans="1:11" ht="90" x14ac:dyDescent="0.3">
      <c r="A38" s="8">
        <f>IF(C38="","",SUBTOTAL(103,$C$2:C38))</f>
        <v>37</v>
      </c>
      <c r="B38" s="8"/>
      <c r="C38" s="8" t="s">
        <v>87</v>
      </c>
      <c r="D38" s="8" t="s">
        <v>92</v>
      </c>
      <c r="E38" s="11">
        <v>10000000</v>
      </c>
      <c r="F38" s="11">
        <v>15000000</v>
      </c>
      <c r="G38" s="8" t="s">
        <v>371</v>
      </c>
      <c r="H38" s="8"/>
      <c r="I38" s="8"/>
      <c r="J38" s="8" t="s">
        <v>93</v>
      </c>
      <c r="K38" s="8" t="s">
        <v>72</v>
      </c>
    </row>
    <row r="39" spans="1:11" ht="90" x14ac:dyDescent="0.3">
      <c r="A39" s="8">
        <f>IF(C39="","",SUBTOTAL(103,$C$2:C39))</f>
        <v>38</v>
      </c>
      <c r="B39" s="8"/>
      <c r="C39" s="8" t="s">
        <v>87</v>
      </c>
      <c r="D39" s="8" t="s">
        <v>94</v>
      </c>
      <c r="E39" s="11">
        <v>20000000</v>
      </c>
      <c r="F39" s="11">
        <v>25000000</v>
      </c>
      <c r="G39" s="8" t="s">
        <v>370</v>
      </c>
      <c r="H39" s="8"/>
      <c r="I39" s="8"/>
      <c r="J39" s="8" t="s">
        <v>95</v>
      </c>
      <c r="K39" s="8" t="s">
        <v>72</v>
      </c>
    </row>
    <row r="40" spans="1:11" ht="90" x14ac:dyDescent="0.3">
      <c r="A40" s="8">
        <f>IF(C40="","",SUBTOTAL(103,$C$2:C40))</f>
        <v>39</v>
      </c>
      <c r="B40" s="8"/>
      <c r="C40" s="8" t="s">
        <v>96</v>
      </c>
      <c r="D40" s="8" t="s">
        <v>97</v>
      </c>
      <c r="E40" s="11">
        <v>3000000</v>
      </c>
      <c r="F40" s="11">
        <v>5000000</v>
      </c>
      <c r="G40" s="8" t="s">
        <v>369</v>
      </c>
      <c r="H40" s="8"/>
      <c r="I40" s="8"/>
      <c r="J40" s="8" t="s">
        <v>98</v>
      </c>
      <c r="K40" s="8" t="s">
        <v>72</v>
      </c>
    </row>
    <row r="41" spans="1:11" ht="90" x14ac:dyDescent="0.3">
      <c r="A41" s="8">
        <f>IF(C41="","",SUBTOTAL(103,$C$2:C41))</f>
        <v>40</v>
      </c>
      <c r="B41" s="8"/>
      <c r="C41" s="8" t="s">
        <v>96</v>
      </c>
      <c r="D41" s="8" t="s">
        <v>99</v>
      </c>
      <c r="E41" s="11">
        <v>3000000</v>
      </c>
      <c r="F41" s="11">
        <v>5000000</v>
      </c>
      <c r="G41" s="8" t="s">
        <v>370</v>
      </c>
      <c r="H41" s="8"/>
      <c r="I41" s="8" t="s">
        <v>110</v>
      </c>
      <c r="J41" s="8" t="s">
        <v>100</v>
      </c>
      <c r="K41" s="8" t="s">
        <v>72</v>
      </c>
    </row>
    <row r="42" spans="1:11" ht="90" x14ac:dyDescent="0.3">
      <c r="A42" s="8">
        <f>IF(C42="","",SUBTOTAL(103,$C$2:C42))</f>
        <v>41</v>
      </c>
      <c r="B42" s="8"/>
      <c r="C42" s="8" t="s">
        <v>96</v>
      </c>
      <c r="D42" s="8" t="s">
        <v>101</v>
      </c>
      <c r="E42" s="11">
        <v>5000000</v>
      </c>
      <c r="F42" s="11">
        <v>10000000</v>
      </c>
      <c r="G42" s="8" t="s">
        <v>370</v>
      </c>
      <c r="H42" s="8"/>
      <c r="I42" s="8" t="s">
        <v>111</v>
      </c>
      <c r="J42" s="8" t="s">
        <v>102</v>
      </c>
      <c r="K42" s="8" t="s">
        <v>72</v>
      </c>
    </row>
    <row r="43" spans="1:11" ht="90" x14ac:dyDescent="0.3">
      <c r="A43" s="8">
        <f>IF(C43="","",SUBTOTAL(103,$C$2:C43))</f>
        <v>42</v>
      </c>
      <c r="B43" s="8"/>
      <c r="C43" s="8" t="s">
        <v>96</v>
      </c>
      <c r="D43" s="8" t="s">
        <v>103</v>
      </c>
      <c r="E43" s="11">
        <v>10000000</v>
      </c>
      <c r="F43" s="11">
        <v>15000000</v>
      </c>
      <c r="G43" s="8" t="s">
        <v>371</v>
      </c>
      <c r="H43" s="8"/>
      <c r="I43" s="8"/>
      <c r="J43" s="8" t="s">
        <v>104</v>
      </c>
      <c r="K43" s="8" t="s">
        <v>72</v>
      </c>
    </row>
    <row r="44" spans="1:11" ht="90" x14ac:dyDescent="0.3">
      <c r="A44" s="8">
        <f>IF(C44="","",SUBTOTAL(103,$C$2:C44))</f>
        <v>43</v>
      </c>
      <c r="B44" s="8"/>
      <c r="C44" s="8" t="s">
        <v>96</v>
      </c>
      <c r="D44" s="8" t="s">
        <v>105</v>
      </c>
      <c r="E44" s="11">
        <v>20000000</v>
      </c>
      <c r="F44" s="11">
        <v>25000000</v>
      </c>
      <c r="G44" s="8" t="s">
        <v>370</v>
      </c>
      <c r="H44" s="8" t="s">
        <v>109</v>
      </c>
      <c r="I44" s="8"/>
      <c r="J44" s="8" t="s">
        <v>106</v>
      </c>
      <c r="K44" s="8" t="s">
        <v>72</v>
      </c>
    </row>
    <row r="45" spans="1:11" ht="54" x14ac:dyDescent="0.3">
      <c r="A45" s="8">
        <f>IF(C45="","",SUBTOTAL(103,$C$2:C45))</f>
        <v>44</v>
      </c>
      <c r="B45" s="8"/>
      <c r="C45" s="8" t="s">
        <v>96</v>
      </c>
      <c r="D45" s="8" t="s">
        <v>107</v>
      </c>
      <c r="E45" s="11">
        <v>45000000</v>
      </c>
      <c r="F45" s="11">
        <v>50000000</v>
      </c>
      <c r="G45" s="10" t="s">
        <v>372</v>
      </c>
      <c r="H45" s="8" t="s">
        <v>109</v>
      </c>
      <c r="I45" s="8"/>
      <c r="J45" s="8" t="s">
        <v>108</v>
      </c>
      <c r="K45" s="10"/>
    </row>
    <row r="46" spans="1:11" ht="90" x14ac:dyDescent="0.3">
      <c r="A46" s="8">
        <f>IF(C46="","",SUBTOTAL(103,$C$2:C46))</f>
        <v>45</v>
      </c>
      <c r="B46" s="8"/>
      <c r="C46" s="8" t="s">
        <v>112</v>
      </c>
      <c r="D46" s="8" t="s">
        <v>113</v>
      </c>
      <c r="E46" s="11">
        <v>3000000</v>
      </c>
      <c r="F46" s="11">
        <v>5000000</v>
      </c>
      <c r="G46" s="8" t="s">
        <v>369</v>
      </c>
      <c r="H46" s="8"/>
      <c r="I46" s="8"/>
      <c r="J46" s="8" t="s">
        <v>114</v>
      </c>
      <c r="K46" s="8" t="s">
        <v>72</v>
      </c>
    </row>
    <row r="47" spans="1:11" ht="90" x14ac:dyDescent="0.3">
      <c r="A47" s="8">
        <f>IF(C47="","",SUBTOTAL(103,$C$2:C47))</f>
        <v>46</v>
      </c>
      <c r="B47" s="8"/>
      <c r="C47" s="8" t="s">
        <v>112</v>
      </c>
      <c r="D47" s="8" t="s">
        <v>115</v>
      </c>
      <c r="E47" s="11">
        <v>3000000</v>
      </c>
      <c r="F47" s="11">
        <v>5000000</v>
      </c>
      <c r="G47" s="8" t="s">
        <v>369</v>
      </c>
      <c r="H47" s="8"/>
      <c r="I47" s="8"/>
      <c r="J47" s="8" t="s">
        <v>116</v>
      </c>
      <c r="K47" s="8" t="s">
        <v>72</v>
      </c>
    </row>
    <row r="48" spans="1:11" ht="90" x14ac:dyDescent="0.3">
      <c r="A48" s="8">
        <f>IF(C48="","",SUBTOTAL(103,$C$2:C48))</f>
        <v>47</v>
      </c>
      <c r="B48" s="8"/>
      <c r="C48" s="8" t="s">
        <v>112</v>
      </c>
      <c r="D48" s="8" t="s">
        <v>117</v>
      </c>
      <c r="E48" s="11">
        <v>10000000</v>
      </c>
      <c r="F48" s="11">
        <v>15000000</v>
      </c>
      <c r="G48" s="8" t="s">
        <v>371</v>
      </c>
      <c r="H48" s="8"/>
      <c r="I48" s="8"/>
      <c r="J48" s="8" t="s">
        <v>118</v>
      </c>
      <c r="K48" s="8" t="s">
        <v>72</v>
      </c>
    </row>
    <row r="49" spans="1:11" ht="90" x14ac:dyDescent="0.3">
      <c r="A49" s="8">
        <f>IF(C49="","",SUBTOTAL(103,$C$2:C49))</f>
        <v>48</v>
      </c>
      <c r="B49" s="8"/>
      <c r="C49" s="8" t="s">
        <v>112</v>
      </c>
      <c r="D49" s="8" t="s">
        <v>119</v>
      </c>
      <c r="E49" s="11">
        <v>10000000</v>
      </c>
      <c r="F49" s="11">
        <v>15000000</v>
      </c>
      <c r="G49" s="8" t="s">
        <v>371</v>
      </c>
      <c r="H49" s="8"/>
      <c r="I49" s="8"/>
      <c r="J49" s="8" t="s">
        <v>120</v>
      </c>
      <c r="K49" s="8" t="s">
        <v>72</v>
      </c>
    </row>
    <row r="50" spans="1:11" ht="90" x14ac:dyDescent="0.3">
      <c r="A50" s="8">
        <f>IF(C50="","",SUBTOTAL(103,$C$2:C50))</f>
        <v>49</v>
      </c>
      <c r="B50" s="8"/>
      <c r="C50" s="8" t="s">
        <v>112</v>
      </c>
      <c r="D50" s="8" t="s">
        <v>121</v>
      </c>
      <c r="E50" s="11">
        <v>20000000</v>
      </c>
      <c r="F50" s="11">
        <v>25000000</v>
      </c>
      <c r="G50" s="8" t="s">
        <v>370</v>
      </c>
      <c r="H50" s="8"/>
      <c r="I50" s="8"/>
      <c r="J50" s="8" t="s">
        <v>122</v>
      </c>
      <c r="K50" s="8" t="s">
        <v>72</v>
      </c>
    </row>
    <row r="51" spans="1:11" ht="90" x14ac:dyDescent="0.3">
      <c r="A51" s="8">
        <f>IF(C51="","",SUBTOTAL(103,$C$2:C51))</f>
        <v>50</v>
      </c>
      <c r="B51" s="8"/>
      <c r="C51" s="8" t="s">
        <v>112</v>
      </c>
      <c r="D51" s="8" t="s">
        <v>123</v>
      </c>
      <c r="E51" s="11">
        <v>20000000</v>
      </c>
      <c r="F51" s="11">
        <v>25000000</v>
      </c>
      <c r="G51" s="8" t="s">
        <v>370</v>
      </c>
      <c r="H51" s="8" t="s">
        <v>109</v>
      </c>
      <c r="I51" s="8"/>
      <c r="J51" s="8" t="s">
        <v>124</v>
      </c>
      <c r="K51" s="8" t="s">
        <v>72</v>
      </c>
    </row>
    <row r="52" spans="1:11" ht="198" x14ac:dyDescent="0.3">
      <c r="A52" s="8">
        <f>IF(C52="","",SUBTOTAL(103,$C$2:C52))</f>
        <v>51</v>
      </c>
      <c r="B52" s="8"/>
      <c r="C52" s="8" t="s">
        <v>112</v>
      </c>
      <c r="D52" s="8" t="s">
        <v>125</v>
      </c>
      <c r="E52" s="11">
        <v>40000000</v>
      </c>
      <c r="F52" s="11">
        <v>50000000</v>
      </c>
      <c r="G52" s="10" t="s">
        <v>372</v>
      </c>
      <c r="H52" s="12" t="s">
        <v>127</v>
      </c>
      <c r="I52" s="8"/>
      <c r="J52" s="8" t="s">
        <v>126</v>
      </c>
      <c r="K52" s="10"/>
    </row>
    <row r="53" spans="1:11" ht="90" x14ac:dyDescent="0.3">
      <c r="A53" s="8">
        <f>IF(C53="","",SUBTOTAL(103,$C$2:C53))</f>
        <v>52</v>
      </c>
      <c r="B53" s="8"/>
      <c r="C53" s="8" t="s">
        <v>128</v>
      </c>
      <c r="D53" s="8" t="s">
        <v>129</v>
      </c>
      <c r="E53" s="11">
        <v>3000000</v>
      </c>
      <c r="F53" s="11">
        <v>5000000</v>
      </c>
      <c r="G53" s="8" t="s">
        <v>369</v>
      </c>
      <c r="H53" s="8"/>
      <c r="I53" s="8"/>
      <c r="J53" s="8" t="s">
        <v>130</v>
      </c>
      <c r="K53" s="8" t="s">
        <v>72</v>
      </c>
    </row>
    <row r="54" spans="1:11" ht="108" x14ac:dyDescent="0.3">
      <c r="A54" s="8">
        <f>IF(C54="","",SUBTOTAL(103,$C$2:C54))</f>
        <v>53</v>
      </c>
      <c r="B54" s="8"/>
      <c r="C54" s="8" t="s">
        <v>128</v>
      </c>
      <c r="D54" s="8" t="s">
        <v>131</v>
      </c>
      <c r="E54" s="11">
        <v>5000000</v>
      </c>
      <c r="F54" s="11">
        <v>7000000</v>
      </c>
      <c r="G54" s="8" t="s">
        <v>370</v>
      </c>
      <c r="H54" s="8"/>
      <c r="I54" s="8" t="s">
        <v>143</v>
      </c>
      <c r="J54" s="8" t="s">
        <v>132</v>
      </c>
      <c r="K54" s="8" t="s">
        <v>72</v>
      </c>
    </row>
    <row r="55" spans="1:11" ht="90" x14ac:dyDescent="0.3">
      <c r="A55" s="8">
        <f>IF(C55="","",SUBTOTAL(103,$C$2:C55))</f>
        <v>54</v>
      </c>
      <c r="B55" s="8"/>
      <c r="C55" s="8" t="s">
        <v>128</v>
      </c>
      <c r="D55" s="8" t="s">
        <v>133</v>
      </c>
      <c r="E55" s="11">
        <v>5000000</v>
      </c>
      <c r="F55" s="11">
        <v>7000000</v>
      </c>
      <c r="G55" s="8" t="s">
        <v>371</v>
      </c>
      <c r="H55" s="8"/>
      <c r="I55" s="8"/>
      <c r="J55" s="8" t="s">
        <v>135</v>
      </c>
      <c r="K55" s="8" t="s">
        <v>72</v>
      </c>
    </row>
    <row r="56" spans="1:11" ht="54" x14ac:dyDescent="0.3">
      <c r="A56" s="8">
        <f>IF(C56="","",SUBTOTAL(103,$C$2:C56))</f>
        <v>55</v>
      </c>
      <c r="B56" s="8"/>
      <c r="C56" s="8" t="s">
        <v>128</v>
      </c>
      <c r="D56" s="8" t="s">
        <v>134</v>
      </c>
      <c r="E56" s="11">
        <v>5000000</v>
      </c>
      <c r="F56" s="11">
        <v>7000000</v>
      </c>
      <c r="G56" s="8" t="s">
        <v>371</v>
      </c>
      <c r="H56" s="8"/>
      <c r="I56" s="8"/>
      <c r="J56" s="8" t="s">
        <v>136</v>
      </c>
      <c r="K56" s="10"/>
    </row>
    <row r="57" spans="1:11" ht="90" x14ac:dyDescent="0.3">
      <c r="A57" s="8">
        <f>IF(C57="","",SUBTOTAL(103,$C$2:C57))</f>
        <v>56</v>
      </c>
      <c r="B57" s="8"/>
      <c r="C57" s="8" t="s">
        <v>128</v>
      </c>
      <c r="D57" s="8" t="s">
        <v>137</v>
      </c>
      <c r="E57" s="11">
        <v>20000000</v>
      </c>
      <c r="F57" s="11">
        <v>25000000</v>
      </c>
      <c r="G57" s="8" t="s">
        <v>370</v>
      </c>
      <c r="H57" s="8"/>
      <c r="I57" s="8"/>
      <c r="J57" s="8" t="s">
        <v>138</v>
      </c>
      <c r="K57" s="8" t="s">
        <v>72</v>
      </c>
    </row>
    <row r="58" spans="1:11" ht="108" x14ac:dyDescent="0.3">
      <c r="A58" s="8">
        <f>IF(C58="","",SUBTOTAL(103,$C$2:C58))</f>
        <v>57</v>
      </c>
      <c r="B58" s="8"/>
      <c r="C58" s="8" t="s">
        <v>128</v>
      </c>
      <c r="D58" s="8" t="s">
        <v>139</v>
      </c>
      <c r="E58" s="11">
        <v>20000000</v>
      </c>
      <c r="F58" s="11">
        <v>25000000</v>
      </c>
      <c r="G58" s="8" t="s">
        <v>370</v>
      </c>
      <c r="H58" s="8"/>
      <c r="I58" s="8" t="s">
        <v>144</v>
      </c>
      <c r="J58" s="8" t="s">
        <v>141</v>
      </c>
      <c r="K58" s="8" t="s">
        <v>72</v>
      </c>
    </row>
    <row r="59" spans="1:11" ht="90" x14ac:dyDescent="0.3">
      <c r="A59" s="8">
        <f>IF(C59="","",SUBTOTAL(103,$C$2:C59))</f>
        <v>58</v>
      </c>
      <c r="B59" s="8"/>
      <c r="C59" s="8" t="s">
        <v>128</v>
      </c>
      <c r="D59" s="8" t="s">
        <v>140</v>
      </c>
      <c r="E59" s="11">
        <v>20000000</v>
      </c>
      <c r="F59" s="11">
        <v>25000000</v>
      </c>
      <c r="G59" s="8" t="s">
        <v>370</v>
      </c>
      <c r="H59" s="8"/>
      <c r="I59" s="8" t="s">
        <v>145</v>
      </c>
      <c r="J59" s="8" t="s">
        <v>142</v>
      </c>
      <c r="K59" s="8" t="s">
        <v>72</v>
      </c>
    </row>
    <row r="60" spans="1:11" ht="90" x14ac:dyDescent="0.3">
      <c r="A60" s="8">
        <f>IF(C60="","",SUBTOTAL(103,$C$2:C60))</f>
        <v>59</v>
      </c>
      <c r="B60" s="8"/>
      <c r="C60" s="8" t="s">
        <v>147</v>
      </c>
      <c r="D60" s="8" t="s">
        <v>146</v>
      </c>
      <c r="E60" s="11">
        <v>10000000</v>
      </c>
      <c r="F60" s="11">
        <v>15000000</v>
      </c>
      <c r="G60" s="8" t="s">
        <v>370</v>
      </c>
      <c r="H60" s="8"/>
      <c r="I60" s="8" t="s">
        <v>158</v>
      </c>
      <c r="J60" s="8" t="s">
        <v>376</v>
      </c>
      <c r="K60" s="10"/>
    </row>
    <row r="61" spans="1:11" ht="54" x14ac:dyDescent="0.3">
      <c r="A61" s="8">
        <f>IF(C61="","",SUBTOTAL(103,$C$2:C61))</f>
        <v>60</v>
      </c>
      <c r="B61" s="8"/>
      <c r="C61" s="8" t="s">
        <v>147</v>
      </c>
      <c r="D61" s="8" t="s">
        <v>148</v>
      </c>
      <c r="E61" s="11">
        <v>10000000</v>
      </c>
      <c r="F61" s="11">
        <v>15000000</v>
      </c>
      <c r="G61" s="8" t="s">
        <v>371</v>
      </c>
      <c r="H61" s="8"/>
      <c r="I61" s="8"/>
      <c r="J61" s="8" t="s">
        <v>149</v>
      </c>
      <c r="K61" s="10"/>
    </row>
    <row r="62" spans="1:11" ht="54" x14ac:dyDescent="0.3">
      <c r="A62" s="8">
        <f>IF(C62="","",SUBTOTAL(103,$C$2:C62))</f>
        <v>61</v>
      </c>
      <c r="B62" s="8"/>
      <c r="C62" s="8" t="s">
        <v>147</v>
      </c>
      <c r="D62" s="8" t="s">
        <v>150</v>
      </c>
      <c r="E62" s="11">
        <v>20000000</v>
      </c>
      <c r="F62" s="11">
        <v>30000000</v>
      </c>
      <c r="G62" s="8" t="s">
        <v>370</v>
      </c>
      <c r="H62" s="8"/>
      <c r="I62" s="8"/>
      <c r="J62" s="8" t="s">
        <v>151</v>
      </c>
      <c r="K62" s="10"/>
    </row>
    <row r="63" spans="1:11" ht="54" x14ac:dyDescent="0.3">
      <c r="A63" s="8">
        <f>IF(C63="","",SUBTOTAL(103,$C$2:C63))</f>
        <v>62</v>
      </c>
      <c r="B63" s="8"/>
      <c r="C63" s="8" t="s">
        <v>147</v>
      </c>
      <c r="D63" s="8" t="s">
        <v>152</v>
      </c>
      <c r="E63" s="11">
        <v>30000000</v>
      </c>
      <c r="F63" s="11">
        <v>40000000</v>
      </c>
      <c r="G63" s="8" t="s">
        <v>370</v>
      </c>
      <c r="H63" s="8"/>
      <c r="I63" s="8"/>
      <c r="J63" s="8" t="s">
        <v>153</v>
      </c>
      <c r="K63" s="10"/>
    </row>
    <row r="64" spans="1:11" ht="54" x14ac:dyDescent="0.3">
      <c r="A64" s="8">
        <f>IF(C64="","",SUBTOTAL(103,$C$2:C64))</f>
        <v>63</v>
      </c>
      <c r="B64" s="8"/>
      <c r="C64" s="8" t="s">
        <v>147</v>
      </c>
      <c r="D64" s="8" t="s">
        <v>154</v>
      </c>
      <c r="E64" s="11">
        <v>40000000</v>
      </c>
      <c r="F64" s="11">
        <v>50000000</v>
      </c>
      <c r="G64" s="10" t="s">
        <v>372</v>
      </c>
      <c r="H64" s="8"/>
      <c r="I64" s="8"/>
      <c r="J64" s="8" t="s">
        <v>155</v>
      </c>
      <c r="K64" s="10"/>
    </row>
    <row r="65" spans="1:11" ht="54" x14ac:dyDescent="0.3">
      <c r="A65" s="8">
        <f>IF(C65="","",SUBTOTAL(103,$C$2:C65))</f>
        <v>64</v>
      </c>
      <c r="B65" s="8"/>
      <c r="C65" s="8" t="s">
        <v>147</v>
      </c>
      <c r="D65" s="8" t="s">
        <v>156</v>
      </c>
      <c r="E65" s="11">
        <v>40000000</v>
      </c>
      <c r="F65" s="11">
        <v>50000000</v>
      </c>
      <c r="G65" s="10" t="s">
        <v>372</v>
      </c>
      <c r="H65" s="8"/>
      <c r="I65" s="8"/>
      <c r="J65" s="8" t="s">
        <v>157</v>
      </c>
      <c r="K65" s="10"/>
    </row>
    <row r="66" spans="1:11" ht="90" x14ac:dyDescent="0.3">
      <c r="A66" s="8">
        <f>IF(C66="","",SUBTOTAL(103,$C$2:C66))</f>
        <v>65</v>
      </c>
      <c r="B66" s="8"/>
      <c r="C66" s="8" t="s">
        <v>159</v>
      </c>
      <c r="D66" s="8" t="s">
        <v>160</v>
      </c>
      <c r="E66" s="11">
        <v>15000000</v>
      </c>
      <c r="F66" s="11">
        <v>20000000</v>
      </c>
      <c r="G66" s="8" t="s">
        <v>370</v>
      </c>
      <c r="H66" s="8"/>
      <c r="I66" s="8"/>
      <c r="J66" s="8" t="s">
        <v>161</v>
      </c>
      <c r="K66" s="8" t="s">
        <v>72</v>
      </c>
    </row>
    <row r="67" spans="1:11" ht="90" x14ac:dyDescent="0.3">
      <c r="A67" s="8">
        <f>IF(C67="","",SUBTOTAL(103,$C$2:C67))</f>
        <v>66</v>
      </c>
      <c r="B67" s="8"/>
      <c r="C67" s="8" t="s">
        <v>159</v>
      </c>
      <c r="D67" s="8" t="s">
        <v>162</v>
      </c>
      <c r="E67" s="11">
        <v>15000000</v>
      </c>
      <c r="F67" s="11">
        <v>20000000</v>
      </c>
      <c r="G67" s="8" t="s">
        <v>370</v>
      </c>
      <c r="H67" s="8"/>
      <c r="I67" s="8"/>
      <c r="J67" s="8" t="s">
        <v>163</v>
      </c>
      <c r="K67" s="8" t="s">
        <v>72</v>
      </c>
    </row>
    <row r="68" spans="1:11" ht="90" x14ac:dyDescent="0.3">
      <c r="A68" s="8">
        <f>IF(C68="","",SUBTOTAL(103,$C$2:C68))</f>
        <v>67</v>
      </c>
      <c r="B68" s="8"/>
      <c r="C68" s="8" t="s">
        <v>159</v>
      </c>
      <c r="D68" s="8" t="s">
        <v>164</v>
      </c>
      <c r="E68" s="11">
        <v>20000000</v>
      </c>
      <c r="F68" s="11">
        <v>25000000</v>
      </c>
      <c r="G68" s="8" t="s">
        <v>370</v>
      </c>
      <c r="H68" s="8"/>
      <c r="I68" s="8"/>
      <c r="J68" s="8" t="s">
        <v>165</v>
      </c>
      <c r="K68" s="8" t="s">
        <v>72</v>
      </c>
    </row>
    <row r="69" spans="1:11" ht="90" x14ac:dyDescent="0.3">
      <c r="A69" s="8">
        <f>IF(C69="","",SUBTOTAL(103,$C$2:C69))</f>
        <v>68</v>
      </c>
      <c r="B69" s="8"/>
      <c r="C69" s="8" t="s">
        <v>159</v>
      </c>
      <c r="D69" s="8" t="s">
        <v>180</v>
      </c>
      <c r="E69" s="11">
        <v>30000000</v>
      </c>
      <c r="F69" s="11">
        <v>50000000</v>
      </c>
      <c r="G69" s="10" t="s">
        <v>372</v>
      </c>
      <c r="H69" s="8" t="s">
        <v>168</v>
      </c>
      <c r="I69" s="8"/>
      <c r="J69" s="8" t="s">
        <v>166</v>
      </c>
      <c r="K69" s="10"/>
    </row>
    <row r="70" spans="1:11" ht="108" x14ac:dyDescent="0.3">
      <c r="A70" s="8">
        <f>IF(C70="","",SUBTOTAL(103,$C$2:C70))</f>
        <v>69</v>
      </c>
      <c r="B70" s="8"/>
      <c r="C70" s="8" t="s">
        <v>159</v>
      </c>
      <c r="D70" s="8" t="s">
        <v>179</v>
      </c>
      <c r="E70" s="11">
        <v>40000000</v>
      </c>
      <c r="F70" s="11">
        <v>50000000</v>
      </c>
      <c r="G70" s="10" t="s">
        <v>372</v>
      </c>
      <c r="H70" s="8" t="s">
        <v>169</v>
      </c>
      <c r="I70" s="8"/>
      <c r="J70" s="8" t="s">
        <v>167</v>
      </c>
      <c r="K70" s="10"/>
    </row>
    <row r="71" spans="1:11" ht="162" x14ac:dyDescent="0.3">
      <c r="A71" s="8">
        <f>IF(C71="","",SUBTOTAL(103,$C$2:C71))</f>
        <v>70</v>
      </c>
      <c r="B71" s="8"/>
      <c r="C71" s="8" t="s">
        <v>170</v>
      </c>
      <c r="D71" s="8" t="s">
        <v>178</v>
      </c>
      <c r="E71" s="11">
        <v>20000000</v>
      </c>
      <c r="F71" s="11">
        <v>30000000</v>
      </c>
      <c r="G71" s="8" t="s">
        <v>370</v>
      </c>
      <c r="H71" s="8"/>
      <c r="I71" s="8" t="s">
        <v>175</v>
      </c>
      <c r="J71" s="8" t="s">
        <v>171</v>
      </c>
      <c r="K71" s="10"/>
    </row>
    <row r="72" spans="1:11" ht="90" x14ac:dyDescent="0.3">
      <c r="A72" s="8">
        <f>IF(C72="","",SUBTOTAL(103,$C$2:C72))</f>
        <v>71</v>
      </c>
      <c r="B72" s="8"/>
      <c r="C72" s="8" t="s">
        <v>170</v>
      </c>
      <c r="D72" s="8" t="s">
        <v>177</v>
      </c>
      <c r="E72" s="11">
        <v>40000000</v>
      </c>
      <c r="F72" s="11">
        <v>50000000</v>
      </c>
      <c r="G72" s="10" t="s">
        <v>372</v>
      </c>
      <c r="H72" s="8"/>
      <c r="I72" s="8" t="s">
        <v>176</v>
      </c>
      <c r="J72" s="8" t="s">
        <v>172</v>
      </c>
      <c r="K72" s="10"/>
    </row>
    <row r="73" spans="1:11" ht="162" x14ac:dyDescent="0.3">
      <c r="A73" s="8">
        <f>IF(C73="","",SUBTOTAL(103,$C$2:C73))</f>
        <v>72</v>
      </c>
      <c r="B73" s="8"/>
      <c r="C73" s="8" t="s">
        <v>170</v>
      </c>
      <c r="D73" s="8" t="s">
        <v>173</v>
      </c>
      <c r="E73" s="11">
        <v>40000000</v>
      </c>
      <c r="F73" s="11">
        <v>50000000</v>
      </c>
      <c r="G73" s="10" t="s">
        <v>372</v>
      </c>
      <c r="H73" s="8"/>
      <c r="I73" s="8" t="s">
        <v>175</v>
      </c>
      <c r="J73" s="8" t="s">
        <v>174</v>
      </c>
      <c r="K73" s="10"/>
    </row>
    <row r="74" spans="1:11" ht="72" x14ac:dyDescent="0.3">
      <c r="A74" s="8">
        <f>IF(C74="","",SUBTOTAL(103,$C$2:C74))</f>
        <v>73</v>
      </c>
      <c r="B74" s="8"/>
      <c r="C74" s="8" t="s">
        <v>181</v>
      </c>
      <c r="D74" s="8" t="s">
        <v>182</v>
      </c>
      <c r="E74" s="11">
        <v>1000000</v>
      </c>
      <c r="F74" s="11">
        <v>2000000</v>
      </c>
      <c r="G74" s="8" t="s">
        <v>370</v>
      </c>
      <c r="H74" s="8"/>
      <c r="I74" s="8" t="s">
        <v>208</v>
      </c>
      <c r="J74" s="8" t="s">
        <v>183</v>
      </c>
      <c r="K74" s="10"/>
    </row>
    <row r="75" spans="1:11" ht="90" x14ac:dyDescent="0.3">
      <c r="A75" s="8">
        <f>IF(C75="","",SUBTOTAL(103,$C$2:C75))</f>
        <v>74</v>
      </c>
      <c r="B75" s="8"/>
      <c r="C75" s="8" t="s">
        <v>181</v>
      </c>
      <c r="D75" s="8" t="s">
        <v>184</v>
      </c>
      <c r="E75" s="11">
        <v>3000000</v>
      </c>
      <c r="F75" s="11">
        <v>5000000</v>
      </c>
      <c r="G75" s="8" t="s">
        <v>370</v>
      </c>
      <c r="H75" s="8"/>
      <c r="I75" s="8" t="s">
        <v>208</v>
      </c>
      <c r="J75" s="8" t="s">
        <v>185</v>
      </c>
      <c r="K75" s="8" t="s">
        <v>72</v>
      </c>
    </row>
    <row r="76" spans="1:11" ht="72" x14ac:dyDescent="0.3">
      <c r="A76" s="8">
        <f>IF(C76="","",SUBTOTAL(103,$C$2:C76))</f>
        <v>75</v>
      </c>
      <c r="B76" s="8"/>
      <c r="C76" s="8" t="s">
        <v>181</v>
      </c>
      <c r="D76" s="8" t="s">
        <v>186</v>
      </c>
      <c r="E76" s="11">
        <v>5000000</v>
      </c>
      <c r="F76" s="11">
        <v>7000000</v>
      </c>
      <c r="G76" s="8" t="s">
        <v>370</v>
      </c>
      <c r="H76" s="8"/>
      <c r="I76" s="8" t="s">
        <v>209</v>
      </c>
      <c r="J76" s="8" t="s">
        <v>187</v>
      </c>
      <c r="K76" s="10"/>
    </row>
    <row r="77" spans="1:11" ht="180" x14ac:dyDescent="0.3">
      <c r="A77" s="8">
        <f>IF(C77="","",SUBTOTAL(103,$C$2:C77))</f>
        <v>76</v>
      </c>
      <c r="B77" s="8"/>
      <c r="C77" s="8" t="s">
        <v>181</v>
      </c>
      <c r="D77" s="8" t="s">
        <v>188</v>
      </c>
      <c r="E77" s="11">
        <v>8000000</v>
      </c>
      <c r="F77" s="11">
        <v>10000000</v>
      </c>
      <c r="G77" s="8" t="s">
        <v>370</v>
      </c>
      <c r="H77" s="8"/>
      <c r="I77" s="8" t="s">
        <v>210</v>
      </c>
      <c r="J77" s="8" t="s">
        <v>189</v>
      </c>
      <c r="K77" s="10"/>
    </row>
    <row r="78" spans="1:11" ht="90" x14ac:dyDescent="0.3">
      <c r="A78" s="8">
        <f>IF(C78="","",SUBTOTAL(103,$C$2:C78))</f>
        <v>77</v>
      </c>
      <c r="B78" s="8"/>
      <c r="C78" s="8" t="s">
        <v>181</v>
      </c>
      <c r="D78" s="8" t="s">
        <v>190</v>
      </c>
      <c r="E78" s="11">
        <v>10000000</v>
      </c>
      <c r="F78" s="11">
        <v>15000000</v>
      </c>
      <c r="G78" s="8" t="s">
        <v>370</v>
      </c>
      <c r="H78" s="8"/>
      <c r="I78" s="8" t="s">
        <v>209</v>
      </c>
      <c r="J78" s="8" t="s">
        <v>191</v>
      </c>
      <c r="K78" s="8" t="s">
        <v>72</v>
      </c>
    </row>
    <row r="79" spans="1:11" ht="180" x14ac:dyDescent="0.3">
      <c r="A79" s="8">
        <f>IF(C79="","",SUBTOTAL(103,$C$2:C79))</f>
        <v>78</v>
      </c>
      <c r="B79" s="8"/>
      <c r="C79" s="8" t="s">
        <v>181</v>
      </c>
      <c r="D79" s="8" t="s">
        <v>192</v>
      </c>
      <c r="E79" s="11">
        <v>15000000</v>
      </c>
      <c r="F79" s="11">
        <v>20000000</v>
      </c>
      <c r="G79" s="8" t="s">
        <v>370</v>
      </c>
      <c r="H79" s="8"/>
      <c r="I79" s="8" t="s">
        <v>210</v>
      </c>
      <c r="J79" s="8" t="s">
        <v>193</v>
      </c>
      <c r="K79" s="8" t="s">
        <v>72</v>
      </c>
    </row>
    <row r="80" spans="1:11" ht="180" x14ac:dyDescent="0.3">
      <c r="A80" s="8">
        <f>IF(C80="","",SUBTOTAL(103,$C$2:C80))</f>
        <v>79</v>
      </c>
      <c r="B80" s="8"/>
      <c r="C80" s="8" t="s">
        <v>181</v>
      </c>
      <c r="D80" s="8" t="s">
        <v>194</v>
      </c>
      <c r="E80" s="11">
        <v>20000000</v>
      </c>
      <c r="F80" s="11">
        <v>25000000</v>
      </c>
      <c r="G80" s="8" t="s">
        <v>370</v>
      </c>
      <c r="H80" s="8"/>
      <c r="I80" s="8" t="s">
        <v>210</v>
      </c>
      <c r="J80" s="8" t="s">
        <v>195</v>
      </c>
      <c r="K80" s="8" t="s">
        <v>72</v>
      </c>
    </row>
    <row r="81" spans="1:11" ht="90" x14ac:dyDescent="0.3">
      <c r="A81" s="8">
        <f>IF(C81="","",SUBTOTAL(103,$C$2:C81))</f>
        <v>80</v>
      </c>
      <c r="B81" s="8"/>
      <c r="C81" s="8" t="s">
        <v>181</v>
      </c>
      <c r="D81" s="8" t="s">
        <v>196</v>
      </c>
      <c r="E81" s="11">
        <v>30000000</v>
      </c>
      <c r="F81" s="11">
        <v>40000000</v>
      </c>
      <c r="G81" s="8" t="s">
        <v>370</v>
      </c>
      <c r="H81" s="8"/>
      <c r="I81" s="8" t="s">
        <v>211</v>
      </c>
      <c r="J81" s="8" t="s">
        <v>198</v>
      </c>
      <c r="K81" s="10"/>
    </row>
    <row r="82" spans="1:11" ht="90" x14ac:dyDescent="0.3">
      <c r="A82" s="8">
        <f>IF(C82="","",SUBTOTAL(103,$C$2:C82))</f>
        <v>81</v>
      </c>
      <c r="B82" s="8"/>
      <c r="C82" s="8" t="s">
        <v>181</v>
      </c>
      <c r="D82" s="8" t="s">
        <v>197</v>
      </c>
      <c r="E82" s="11">
        <v>30000000</v>
      </c>
      <c r="F82" s="11">
        <v>40000000</v>
      </c>
      <c r="G82" s="8" t="s">
        <v>370</v>
      </c>
      <c r="H82" s="8"/>
      <c r="I82" s="8" t="s">
        <v>212</v>
      </c>
      <c r="J82" s="8" t="s">
        <v>199</v>
      </c>
      <c r="K82" s="10"/>
    </row>
    <row r="83" spans="1:11" ht="90" x14ac:dyDescent="0.3">
      <c r="A83" s="8">
        <f>IF(C83="","",SUBTOTAL(103,$C$2:C83))</f>
        <v>82</v>
      </c>
      <c r="B83" s="8"/>
      <c r="C83" s="8" t="s">
        <v>181</v>
      </c>
      <c r="D83" s="8" t="s">
        <v>200</v>
      </c>
      <c r="E83" s="11">
        <v>30000000</v>
      </c>
      <c r="F83" s="11">
        <v>40000000</v>
      </c>
      <c r="G83" s="8" t="s">
        <v>370</v>
      </c>
      <c r="H83" s="8"/>
      <c r="I83" s="8" t="s">
        <v>213</v>
      </c>
      <c r="J83" s="8" t="s">
        <v>377</v>
      </c>
      <c r="K83" s="10"/>
    </row>
    <row r="84" spans="1:11" ht="90" x14ac:dyDescent="0.3">
      <c r="A84" s="8">
        <f>IF(C84="","",SUBTOTAL(103,$C$2:C84))</f>
        <v>83</v>
      </c>
      <c r="B84" s="8"/>
      <c r="C84" s="8" t="s">
        <v>181</v>
      </c>
      <c r="D84" s="8" t="s">
        <v>201</v>
      </c>
      <c r="E84" s="11">
        <v>40000000</v>
      </c>
      <c r="F84" s="11">
        <v>50000000</v>
      </c>
      <c r="G84" s="10" t="s">
        <v>372</v>
      </c>
      <c r="H84" s="8" t="s">
        <v>207</v>
      </c>
      <c r="I84" s="8" t="s">
        <v>211</v>
      </c>
      <c r="J84" s="8" t="s">
        <v>202</v>
      </c>
      <c r="K84" s="10"/>
    </row>
    <row r="85" spans="1:11" ht="90" x14ac:dyDescent="0.3">
      <c r="A85" s="8">
        <f>IF(C85="","",SUBTOTAL(103,$C$2:C85))</f>
        <v>84</v>
      </c>
      <c r="B85" s="8"/>
      <c r="C85" s="8" t="s">
        <v>181</v>
      </c>
      <c r="D85" s="8" t="s">
        <v>203</v>
      </c>
      <c r="E85" s="11">
        <v>40000000</v>
      </c>
      <c r="F85" s="11">
        <v>50000000</v>
      </c>
      <c r="G85" s="10" t="s">
        <v>372</v>
      </c>
      <c r="H85" s="8" t="s">
        <v>207</v>
      </c>
      <c r="I85" s="8" t="s">
        <v>212</v>
      </c>
      <c r="J85" s="8" t="s">
        <v>205</v>
      </c>
      <c r="K85" s="10"/>
    </row>
    <row r="86" spans="1:11" ht="72" x14ac:dyDescent="0.3">
      <c r="A86" s="8">
        <f>IF(C86="","",SUBTOTAL(103,$C$2:C86))</f>
        <v>85</v>
      </c>
      <c r="B86" s="8"/>
      <c r="C86" s="8" t="s">
        <v>181</v>
      </c>
      <c r="D86" s="8" t="s">
        <v>204</v>
      </c>
      <c r="E86" s="11">
        <v>40000000</v>
      </c>
      <c r="F86" s="11">
        <v>50000000</v>
      </c>
      <c r="G86" s="10" t="s">
        <v>372</v>
      </c>
      <c r="H86" s="8"/>
      <c r="I86" s="8" t="s">
        <v>213</v>
      </c>
      <c r="J86" s="8" t="s">
        <v>206</v>
      </c>
      <c r="K86" s="10"/>
    </row>
    <row r="87" spans="1:11" ht="36" x14ac:dyDescent="0.3">
      <c r="A87" s="8">
        <f>IF(C87="","",SUBTOTAL(103,$C$2:C87))</f>
        <v>86</v>
      </c>
      <c r="B87" s="8"/>
      <c r="C87" s="8" t="s">
        <v>214</v>
      </c>
      <c r="D87" s="8" t="s">
        <v>215</v>
      </c>
      <c r="E87" s="11">
        <v>1000000</v>
      </c>
      <c r="F87" s="11">
        <v>3000000</v>
      </c>
      <c r="G87" s="8" t="s">
        <v>371</v>
      </c>
      <c r="H87" s="8"/>
      <c r="I87" s="8" t="s">
        <v>17</v>
      </c>
      <c r="J87" s="8" t="s">
        <v>216</v>
      </c>
      <c r="K87" s="10"/>
    </row>
    <row r="88" spans="1:11" ht="126" x14ac:dyDescent="0.3">
      <c r="A88" s="8">
        <f>IF(C88="","",SUBTOTAL(103,$C$2:C88))</f>
        <v>87</v>
      </c>
      <c r="B88" s="8"/>
      <c r="C88" s="8" t="s">
        <v>214</v>
      </c>
      <c r="D88" s="8" t="s">
        <v>217</v>
      </c>
      <c r="E88" s="11">
        <v>3000000</v>
      </c>
      <c r="F88" s="11">
        <v>5000000</v>
      </c>
      <c r="G88" s="8" t="s">
        <v>370</v>
      </c>
      <c r="H88" s="8"/>
      <c r="I88" s="8" t="s">
        <v>233</v>
      </c>
      <c r="J88" s="8" t="s">
        <v>378</v>
      </c>
      <c r="K88" s="8" t="s">
        <v>72</v>
      </c>
    </row>
    <row r="89" spans="1:11" ht="126" x14ac:dyDescent="0.3">
      <c r="A89" s="8">
        <f>IF(C89="","",SUBTOTAL(103,$C$2:C89))</f>
        <v>88</v>
      </c>
      <c r="B89" s="8"/>
      <c r="C89" s="8" t="s">
        <v>214</v>
      </c>
      <c r="D89" s="8" t="s">
        <v>218</v>
      </c>
      <c r="E89" s="11">
        <v>3000000</v>
      </c>
      <c r="F89" s="11">
        <v>5000000</v>
      </c>
      <c r="G89" s="8" t="s">
        <v>370</v>
      </c>
      <c r="H89" s="8"/>
      <c r="I89" s="8" t="s">
        <v>233</v>
      </c>
      <c r="J89" s="8" t="s">
        <v>379</v>
      </c>
      <c r="K89" s="8" t="s">
        <v>72</v>
      </c>
    </row>
    <row r="90" spans="1:11" ht="90" x14ac:dyDescent="0.3">
      <c r="A90" s="8">
        <f>IF(C90="","",SUBTOTAL(103,$C$2:C90))</f>
        <v>89</v>
      </c>
      <c r="B90" s="8"/>
      <c r="C90" s="8" t="s">
        <v>214</v>
      </c>
      <c r="D90" s="8" t="s">
        <v>219</v>
      </c>
      <c r="E90" s="11">
        <v>5000000</v>
      </c>
      <c r="F90" s="11">
        <v>10000000</v>
      </c>
      <c r="G90" s="8" t="s">
        <v>370</v>
      </c>
      <c r="H90" s="8"/>
      <c r="I90" s="8" t="s">
        <v>234</v>
      </c>
      <c r="J90" s="8" t="s">
        <v>220</v>
      </c>
      <c r="K90" s="8" t="s">
        <v>72</v>
      </c>
    </row>
    <row r="91" spans="1:11" ht="90" x14ac:dyDescent="0.3">
      <c r="A91" s="8">
        <f>IF(C91="","",SUBTOTAL(103,$C$2:C91))</f>
        <v>90</v>
      </c>
      <c r="B91" s="8"/>
      <c r="C91" s="8" t="s">
        <v>214</v>
      </c>
      <c r="D91" s="8" t="s">
        <v>221</v>
      </c>
      <c r="E91" s="11">
        <v>5000000</v>
      </c>
      <c r="F91" s="11">
        <v>10000000</v>
      </c>
      <c r="G91" s="8" t="s">
        <v>370</v>
      </c>
      <c r="H91" s="8"/>
      <c r="I91" s="8" t="s">
        <v>235</v>
      </c>
      <c r="J91" s="8" t="s">
        <v>222</v>
      </c>
      <c r="K91" s="8" t="s">
        <v>72</v>
      </c>
    </row>
    <row r="92" spans="1:11" ht="90" x14ac:dyDescent="0.3">
      <c r="A92" s="8">
        <f>IF(C92="","",SUBTOTAL(103,$C$2:C92))</f>
        <v>91</v>
      </c>
      <c r="B92" s="8"/>
      <c r="C92" s="8" t="s">
        <v>214</v>
      </c>
      <c r="D92" s="8" t="s">
        <v>223</v>
      </c>
      <c r="E92" s="11">
        <v>10000000</v>
      </c>
      <c r="F92" s="11">
        <v>20000000</v>
      </c>
      <c r="G92" s="8" t="s">
        <v>370</v>
      </c>
      <c r="H92" s="8"/>
      <c r="I92" s="8" t="s">
        <v>236</v>
      </c>
      <c r="J92" s="8" t="s">
        <v>224</v>
      </c>
      <c r="K92" s="8" t="s">
        <v>72</v>
      </c>
    </row>
    <row r="93" spans="1:11" ht="90" x14ac:dyDescent="0.3">
      <c r="A93" s="8">
        <f>IF(C93="","",SUBTOTAL(103,$C$2:C93))</f>
        <v>92</v>
      </c>
      <c r="B93" s="8"/>
      <c r="C93" s="8" t="s">
        <v>214</v>
      </c>
      <c r="D93" s="8" t="s">
        <v>225</v>
      </c>
      <c r="E93" s="11">
        <v>10000000</v>
      </c>
      <c r="F93" s="11">
        <v>20000000</v>
      </c>
      <c r="G93" s="8" t="s">
        <v>370</v>
      </c>
      <c r="H93" s="8"/>
      <c r="I93" s="8" t="s">
        <v>237</v>
      </c>
      <c r="J93" s="8" t="s">
        <v>226</v>
      </c>
      <c r="K93" s="8" t="s">
        <v>72</v>
      </c>
    </row>
    <row r="94" spans="1:11" ht="90" x14ac:dyDescent="0.3">
      <c r="A94" s="8">
        <f>IF(C94="","",SUBTOTAL(103,$C$2:C94))</f>
        <v>93</v>
      </c>
      <c r="B94" s="8"/>
      <c r="C94" s="8" t="s">
        <v>214</v>
      </c>
      <c r="D94" s="8" t="s">
        <v>227</v>
      </c>
      <c r="E94" s="11">
        <v>20000000</v>
      </c>
      <c r="F94" s="11">
        <v>25000000</v>
      </c>
      <c r="G94" s="8" t="s">
        <v>370</v>
      </c>
      <c r="H94" s="8"/>
      <c r="I94" s="8"/>
      <c r="J94" s="8" t="s">
        <v>228</v>
      </c>
      <c r="K94" s="8" t="s">
        <v>72</v>
      </c>
    </row>
    <row r="95" spans="1:11" ht="72" x14ac:dyDescent="0.3">
      <c r="A95" s="8">
        <f>IF(C95="","",SUBTOTAL(103,$C$2:C95))</f>
        <v>94</v>
      </c>
      <c r="B95" s="8"/>
      <c r="C95" s="8" t="s">
        <v>214</v>
      </c>
      <c r="D95" s="8" t="s">
        <v>229</v>
      </c>
      <c r="E95" s="11">
        <v>40000000</v>
      </c>
      <c r="F95" s="11">
        <v>50000000</v>
      </c>
      <c r="G95" s="10" t="s">
        <v>372</v>
      </c>
      <c r="H95" s="8"/>
      <c r="I95" s="8" t="s">
        <v>236</v>
      </c>
      <c r="J95" s="8" t="s">
        <v>230</v>
      </c>
      <c r="K95" s="10"/>
    </row>
    <row r="96" spans="1:11" ht="72" x14ac:dyDescent="0.3">
      <c r="A96" s="8">
        <f>IF(C96="","",SUBTOTAL(103,$C$2:C96))</f>
        <v>95</v>
      </c>
      <c r="B96" s="8"/>
      <c r="C96" s="8" t="s">
        <v>214</v>
      </c>
      <c r="D96" s="8" t="s">
        <v>231</v>
      </c>
      <c r="E96" s="11">
        <v>40000000</v>
      </c>
      <c r="F96" s="11">
        <v>50000000</v>
      </c>
      <c r="G96" s="10" t="s">
        <v>372</v>
      </c>
      <c r="H96" s="8"/>
      <c r="I96" s="8" t="s">
        <v>237</v>
      </c>
      <c r="J96" s="8" t="s">
        <v>232</v>
      </c>
      <c r="K96" s="10"/>
    </row>
    <row r="97" spans="1:11" ht="54" x14ac:dyDescent="0.3">
      <c r="A97" s="8">
        <f>IF(C97="","",SUBTOTAL(103,$C$2:C97))</f>
        <v>96</v>
      </c>
      <c r="B97" s="8"/>
      <c r="C97" s="8" t="s">
        <v>238</v>
      </c>
      <c r="D97" s="8" t="s">
        <v>239</v>
      </c>
      <c r="E97" s="11">
        <v>3000000</v>
      </c>
      <c r="F97" s="11">
        <v>5000000</v>
      </c>
      <c r="G97" s="8" t="s">
        <v>369</v>
      </c>
      <c r="H97" s="8"/>
      <c r="I97" s="8"/>
      <c r="J97" s="8" t="s">
        <v>240</v>
      </c>
      <c r="K97" s="10"/>
    </row>
    <row r="98" spans="1:11" ht="54" x14ac:dyDescent="0.3">
      <c r="A98" s="8">
        <f>IF(C98="","",SUBTOTAL(103,$C$2:C98))</f>
        <v>97</v>
      </c>
      <c r="B98" s="8"/>
      <c r="C98" s="8" t="s">
        <v>238</v>
      </c>
      <c r="D98" s="8" t="s">
        <v>241</v>
      </c>
      <c r="E98" s="11">
        <v>3000000</v>
      </c>
      <c r="F98" s="11">
        <v>5000000</v>
      </c>
      <c r="G98" s="8" t="s">
        <v>369</v>
      </c>
      <c r="H98" s="8"/>
      <c r="I98" s="8"/>
      <c r="J98" s="8" t="s">
        <v>242</v>
      </c>
      <c r="K98" s="10"/>
    </row>
    <row r="99" spans="1:11" ht="54" x14ac:dyDescent="0.3">
      <c r="A99" s="8">
        <f>IF(C99="","",SUBTOTAL(103,$C$2:C99))</f>
        <v>98</v>
      </c>
      <c r="B99" s="8"/>
      <c r="C99" s="8" t="s">
        <v>238</v>
      </c>
      <c r="D99" s="8" t="s">
        <v>243</v>
      </c>
      <c r="E99" s="11">
        <v>3000000</v>
      </c>
      <c r="F99" s="11">
        <v>5000000</v>
      </c>
      <c r="G99" s="8" t="s">
        <v>369</v>
      </c>
      <c r="H99" s="8"/>
      <c r="I99" s="8"/>
      <c r="J99" s="8" t="s">
        <v>245</v>
      </c>
      <c r="K99" s="10"/>
    </row>
    <row r="100" spans="1:11" ht="54" x14ac:dyDescent="0.3">
      <c r="A100" s="8">
        <f>IF(C100="","",SUBTOTAL(103,$C$2:C100))</f>
        <v>99</v>
      </c>
      <c r="B100" s="8"/>
      <c r="C100" s="8" t="s">
        <v>238</v>
      </c>
      <c r="D100" s="8" t="s">
        <v>244</v>
      </c>
      <c r="E100" s="11">
        <v>3000000</v>
      </c>
      <c r="F100" s="11">
        <v>5000000</v>
      </c>
      <c r="G100" s="8" t="s">
        <v>369</v>
      </c>
      <c r="H100" s="8"/>
      <c r="I100" s="8"/>
      <c r="J100" s="8" t="s">
        <v>246</v>
      </c>
      <c r="K100" s="10"/>
    </row>
    <row r="101" spans="1:11" ht="54" x14ac:dyDescent="0.3">
      <c r="A101" s="8">
        <f>IF(C101="","",SUBTOTAL(103,$C$2:C101))</f>
        <v>100</v>
      </c>
      <c r="B101" s="8"/>
      <c r="C101" s="8" t="s">
        <v>238</v>
      </c>
      <c r="D101" s="8" t="s">
        <v>247</v>
      </c>
      <c r="E101" s="11">
        <v>5000000</v>
      </c>
      <c r="F101" s="11">
        <v>10000000</v>
      </c>
      <c r="G101" s="8" t="s">
        <v>371</v>
      </c>
      <c r="H101" s="8"/>
      <c r="I101" s="8"/>
      <c r="J101" s="8" t="s">
        <v>248</v>
      </c>
      <c r="K101" s="10"/>
    </row>
    <row r="102" spans="1:11" ht="54" x14ac:dyDescent="0.3">
      <c r="A102" s="8">
        <f>IF(C102="","",SUBTOTAL(103,$C$2:C102))</f>
        <v>101</v>
      </c>
      <c r="B102" s="8"/>
      <c r="C102" s="8" t="s">
        <v>238</v>
      </c>
      <c r="D102" s="8" t="s">
        <v>249</v>
      </c>
      <c r="E102" s="11">
        <v>10000000</v>
      </c>
      <c r="F102" s="11">
        <v>20000000</v>
      </c>
      <c r="G102" s="8" t="s">
        <v>370</v>
      </c>
      <c r="H102" s="8"/>
      <c r="I102" s="8"/>
      <c r="J102" s="8" t="s">
        <v>251</v>
      </c>
      <c r="K102" s="10"/>
    </row>
    <row r="103" spans="1:11" ht="54" x14ac:dyDescent="0.3">
      <c r="A103" s="8">
        <f>IF(C103="","",SUBTOTAL(103,$C$2:C103))</f>
        <v>102</v>
      </c>
      <c r="B103" s="8"/>
      <c r="C103" s="8" t="s">
        <v>238</v>
      </c>
      <c r="D103" s="8" t="s">
        <v>250</v>
      </c>
      <c r="E103" s="11">
        <v>10000000</v>
      </c>
      <c r="F103" s="11">
        <v>20000000</v>
      </c>
      <c r="G103" s="8" t="s">
        <v>370</v>
      </c>
      <c r="H103" s="8"/>
      <c r="I103" s="8"/>
      <c r="J103" s="8" t="s">
        <v>252</v>
      </c>
      <c r="K103" s="10"/>
    </row>
    <row r="104" spans="1:11" ht="90" x14ac:dyDescent="0.3">
      <c r="A104" s="8">
        <f>IF(C104="","",SUBTOTAL(103,$C$2:C104))</f>
        <v>103</v>
      </c>
      <c r="B104" s="8"/>
      <c r="C104" s="8" t="s">
        <v>253</v>
      </c>
      <c r="D104" s="8" t="s">
        <v>254</v>
      </c>
      <c r="E104" s="11">
        <v>10000000</v>
      </c>
      <c r="F104" s="11">
        <v>20000000</v>
      </c>
      <c r="G104" s="8" t="s">
        <v>370</v>
      </c>
      <c r="H104" s="8"/>
      <c r="I104" s="8" t="s">
        <v>268</v>
      </c>
      <c r="J104" s="8" t="s">
        <v>255</v>
      </c>
      <c r="K104" s="8" t="s">
        <v>72</v>
      </c>
    </row>
    <row r="105" spans="1:11" ht="90" x14ac:dyDescent="0.3">
      <c r="A105" s="8">
        <f>IF(C105="","",SUBTOTAL(103,$C$2:C105))</f>
        <v>104</v>
      </c>
      <c r="B105" s="8"/>
      <c r="C105" s="8" t="s">
        <v>253</v>
      </c>
      <c r="D105" s="8" t="s">
        <v>256</v>
      </c>
      <c r="E105" s="11">
        <v>10000000</v>
      </c>
      <c r="F105" s="11">
        <v>20000000</v>
      </c>
      <c r="G105" s="8" t="s">
        <v>370</v>
      </c>
      <c r="H105" s="8"/>
      <c r="I105" s="8" t="s">
        <v>269</v>
      </c>
      <c r="J105" s="8" t="s">
        <v>257</v>
      </c>
      <c r="K105" s="8" t="s">
        <v>72</v>
      </c>
    </row>
    <row r="106" spans="1:11" ht="90" x14ac:dyDescent="0.3">
      <c r="A106" s="8">
        <f>IF(C106="","",SUBTOTAL(103,$C$2:C106))</f>
        <v>105</v>
      </c>
      <c r="B106" s="8"/>
      <c r="C106" s="8" t="s">
        <v>253</v>
      </c>
      <c r="D106" s="8" t="s">
        <v>258</v>
      </c>
      <c r="E106" s="11">
        <v>20000000</v>
      </c>
      <c r="F106" s="11">
        <v>25000000</v>
      </c>
      <c r="G106" s="8" t="s">
        <v>370</v>
      </c>
      <c r="H106" s="8"/>
      <c r="I106" s="8" t="s">
        <v>270</v>
      </c>
      <c r="J106" s="8" t="s">
        <v>259</v>
      </c>
      <c r="K106" s="8" t="s">
        <v>72</v>
      </c>
    </row>
    <row r="107" spans="1:11" ht="90" x14ac:dyDescent="0.3">
      <c r="A107" s="8">
        <f>IF(C107="","",SUBTOTAL(103,$C$2:C107))</f>
        <v>106</v>
      </c>
      <c r="B107" s="8"/>
      <c r="C107" s="8" t="s">
        <v>253</v>
      </c>
      <c r="D107" s="8" t="s">
        <v>260</v>
      </c>
      <c r="E107" s="11">
        <v>20000000</v>
      </c>
      <c r="F107" s="11">
        <v>25000000</v>
      </c>
      <c r="G107" s="8" t="s">
        <v>370</v>
      </c>
      <c r="H107" s="8"/>
      <c r="I107" s="8" t="s">
        <v>271</v>
      </c>
      <c r="J107" s="8" t="s">
        <v>261</v>
      </c>
      <c r="K107" s="8" t="s">
        <v>72</v>
      </c>
    </row>
    <row r="108" spans="1:11" ht="108" x14ac:dyDescent="0.3">
      <c r="A108" s="8">
        <f>IF(C108="","",SUBTOTAL(103,$C$2:C108))</f>
        <v>107</v>
      </c>
      <c r="B108" s="8"/>
      <c r="C108" s="8" t="s">
        <v>253</v>
      </c>
      <c r="D108" s="8" t="s">
        <v>262</v>
      </c>
      <c r="E108" s="11">
        <v>30000000</v>
      </c>
      <c r="F108" s="11">
        <v>40000000</v>
      </c>
      <c r="G108" s="8" t="s">
        <v>370</v>
      </c>
      <c r="H108" s="8"/>
      <c r="I108" s="8" t="s">
        <v>272</v>
      </c>
      <c r="J108" s="8" t="s">
        <v>263</v>
      </c>
      <c r="K108" s="10"/>
    </row>
    <row r="109" spans="1:11" ht="54" x14ac:dyDescent="0.3">
      <c r="A109" s="8">
        <f>IF(C109="","",SUBTOTAL(103,$C$2:C109))</f>
        <v>108</v>
      </c>
      <c r="B109" s="8"/>
      <c r="C109" s="8" t="s">
        <v>253</v>
      </c>
      <c r="D109" s="8" t="s">
        <v>264</v>
      </c>
      <c r="E109" s="11">
        <v>40000000</v>
      </c>
      <c r="F109" s="11">
        <v>50000000</v>
      </c>
      <c r="G109" s="10" t="s">
        <v>372</v>
      </c>
      <c r="H109" s="8"/>
      <c r="I109" s="8"/>
      <c r="J109" s="8" t="s">
        <v>265</v>
      </c>
      <c r="K109" s="10"/>
    </row>
    <row r="110" spans="1:11" ht="54" x14ac:dyDescent="0.3">
      <c r="A110" s="8">
        <f>IF(C110="","",SUBTOTAL(103,$C$2:C110))</f>
        <v>109</v>
      </c>
      <c r="B110" s="8"/>
      <c r="C110" s="8" t="s">
        <v>253</v>
      </c>
      <c r="D110" s="8" t="s">
        <v>266</v>
      </c>
      <c r="E110" s="11">
        <v>40000000</v>
      </c>
      <c r="F110" s="11">
        <v>50000000</v>
      </c>
      <c r="G110" s="10" t="s">
        <v>372</v>
      </c>
      <c r="H110" s="8"/>
      <c r="I110" s="8"/>
      <c r="J110" s="8" t="s">
        <v>267</v>
      </c>
      <c r="K110" s="10"/>
    </row>
    <row r="111" spans="1:11" ht="54" x14ac:dyDescent="0.3">
      <c r="A111" s="8">
        <f>IF(C111="","",SUBTOTAL(103,$C$2:C111))</f>
        <v>110</v>
      </c>
      <c r="B111" s="8"/>
      <c r="C111" s="8" t="s">
        <v>273</v>
      </c>
      <c r="D111" s="8" t="s">
        <v>274</v>
      </c>
      <c r="E111" s="11">
        <v>1000000</v>
      </c>
      <c r="F111" s="11">
        <v>3000000</v>
      </c>
      <c r="G111" s="8" t="s">
        <v>370</v>
      </c>
      <c r="H111" s="8"/>
      <c r="I111" s="8" t="s">
        <v>289</v>
      </c>
      <c r="J111" s="8" t="s">
        <v>276</v>
      </c>
      <c r="K111" s="10"/>
    </row>
    <row r="112" spans="1:11" ht="54" x14ac:dyDescent="0.3">
      <c r="A112" s="8">
        <f>IF(C112="","",SUBTOTAL(103,$C$2:C112))</f>
        <v>111</v>
      </c>
      <c r="B112" s="8"/>
      <c r="C112" s="8" t="s">
        <v>273</v>
      </c>
      <c r="D112" s="8" t="s">
        <v>275</v>
      </c>
      <c r="E112" s="11">
        <v>1000000</v>
      </c>
      <c r="F112" s="11">
        <v>3000000</v>
      </c>
      <c r="G112" s="8" t="s">
        <v>370</v>
      </c>
      <c r="H112" s="8"/>
      <c r="I112" s="8" t="s">
        <v>290</v>
      </c>
      <c r="J112" s="8" t="s">
        <v>277</v>
      </c>
      <c r="K112" s="10"/>
    </row>
    <row r="113" spans="1:11" ht="72" x14ac:dyDescent="0.3">
      <c r="A113" s="8">
        <f>IF(C113="","",SUBTOTAL(103,$C$2:C113))</f>
        <v>112</v>
      </c>
      <c r="B113" s="8"/>
      <c r="C113" s="8" t="s">
        <v>273</v>
      </c>
      <c r="D113" s="8" t="s">
        <v>278</v>
      </c>
      <c r="E113" s="11">
        <v>5000000</v>
      </c>
      <c r="F113" s="11">
        <v>10000000</v>
      </c>
      <c r="G113" s="8" t="s">
        <v>370</v>
      </c>
      <c r="H113" s="8"/>
      <c r="I113" s="8" t="s">
        <v>291</v>
      </c>
      <c r="J113" s="8" t="s">
        <v>279</v>
      </c>
      <c r="K113" s="10"/>
    </row>
    <row r="114" spans="1:11" ht="90" x14ac:dyDescent="0.3">
      <c r="A114" s="8">
        <f>IF(C114="","",SUBTOTAL(103,$C$2:C114))</f>
        <v>113</v>
      </c>
      <c r="B114" s="8"/>
      <c r="C114" s="8" t="s">
        <v>273</v>
      </c>
      <c r="D114" s="8" t="s">
        <v>280</v>
      </c>
      <c r="E114" s="11">
        <v>20000000</v>
      </c>
      <c r="F114" s="11">
        <v>30000000</v>
      </c>
      <c r="G114" s="8" t="s">
        <v>370</v>
      </c>
      <c r="H114" s="8"/>
      <c r="I114" s="8" t="s">
        <v>292</v>
      </c>
      <c r="J114" s="8" t="s">
        <v>281</v>
      </c>
      <c r="K114" s="10"/>
    </row>
    <row r="115" spans="1:11" ht="90" x14ac:dyDescent="0.3">
      <c r="A115" s="8">
        <f>IF(C115="","",SUBTOTAL(103,$C$2:C115))</f>
        <v>114</v>
      </c>
      <c r="B115" s="8"/>
      <c r="C115" s="8" t="s">
        <v>273</v>
      </c>
      <c r="D115" s="8" t="s">
        <v>282</v>
      </c>
      <c r="E115" s="11">
        <v>20000000</v>
      </c>
      <c r="F115" s="11">
        <v>30000000</v>
      </c>
      <c r="G115" s="8" t="s">
        <v>370</v>
      </c>
      <c r="H115" s="8"/>
      <c r="I115" s="8" t="s">
        <v>293</v>
      </c>
      <c r="J115" s="8" t="s">
        <v>283</v>
      </c>
      <c r="K115" s="10"/>
    </row>
    <row r="116" spans="1:11" ht="90" x14ac:dyDescent="0.3">
      <c r="A116" s="8">
        <f>IF(C116="","",SUBTOTAL(103,$C$2:C116))</f>
        <v>115</v>
      </c>
      <c r="B116" s="8"/>
      <c r="C116" s="8" t="s">
        <v>273</v>
      </c>
      <c r="D116" s="8" t="s">
        <v>284</v>
      </c>
      <c r="E116" s="11">
        <v>40000000</v>
      </c>
      <c r="F116" s="11">
        <v>50000000</v>
      </c>
      <c r="G116" s="10" t="s">
        <v>372</v>
      </c>
      <c r="H116" s="8"/>
      <c r="I116" s="8" t="s">
        <v>292</v>
      </c>
      <c r="J116" s="8" t="s">
        <v>285</v>
      </c>
      <c r="K116" s="10"/>
    </row>
    <row r="117" spans="1:11" ht="90" x14ac:dyDescent="0.3">
      <c r="A117" s="8">
        <f>IF(C117="","",SUBTOTAL(103,$C$2:C117))</f>
        <v>116</v>
      </c>
      <c r="B117" s="8"/>
      <c r="C117" s="8" t="s">
        <v>273</v>
      </c>
      <c r="D117" s="8" t="s">
        <v>286</v>
      </c>
      <c r="E117" s="11">
        <v>40000000</v>
      </c>
      <c r="F117" s="11">
        <v>50000000</v>
      </c>
      <c r="G117" s="10" t="s">
        <v>372</v>
      </c>
      <c r="H117" s="8" t="s">
        <v>288</v>
      </c>
      <c r="I117" s="8" t="s">
        <v>293</v>
      </c>
      <c r="J117" s="8" t="s">
        <v>287</v>
      </c>
      <c r="K117" s="10"/>
    </row>
    <row r="118" spans="1:11" ht="108" x14ac:dyDescent="0.3">
      <c r="A118" s="8">
        <f>IF(C118="","",SUBTOTAL(103,$C$2:C118))</f>
        <v>117</v>
      </c>
      <c r="B118" s="8"/>
      <c r="C118" s="8" t="s">
        <v>295</v>
      </c>
      <c r="D118" s="8" t="s">
        <v>294</v>
      </c>
      <c r="E118" s="11">
        <v>2000000</v>
      </c>
      <c r="F118" s="11">
        <v>4000000</v>
      </c>
      <c r="G118" s="8" t="s">
        <v>370</v>
      </c>
      <c r="H118" s="8"/>
      <c r="I118" s="8" t="s">
        <v>306</v>
      </c>
      <c r="J118" s="8" t="s">
        <v>296</v>
      </c>
      <c r="K118" s="10"/>
    </row>
    <row r="119" spans="1:11" ht="144" x14ac:dyDescent="0.3">
      <c r="A119" s="8">
        <f>IF(C119="","",SUBTOTAL(103,$C$2:C119))</f>
        <v>118</v>
      </c>
      <c r="B119" s="8"/>
      <c r="C119" s="8" t="s">
        <v>295</v>
      </c>
      <c r="D119" s="8" t="s">
        <v>297</v>
      </c>
      <c r="E119" s="11">
        <v>5000000</v>
      </c>
      <c r="F119" s="11">
        <v>7000000</v>
      </c>
      <c r="G119" s="8" t="s">
        <v>370</v>
      </c>
      <c r="H119" s="8"/>
      <c r="I119" s="8" t="s">
        <v>307</v>
      </c>
      <c r="J119" s="8" t="s">
        <v>380</v>
      </c>
      <c r="K119" s="8" t="s">
        <v>72</v>
      </c>
    </row>
    <row r="120" spans="1:11" ht="90" x14ac:dyDescent="0.3">
      <c r="A120" s="8">
        <f>IF(C120="","",SUBTOTAL(103,$C$2:C120))</f>
        <v>119</v>
      </c>
      <c r="B120" s="8"/>
      <c r="C120" s="8" t="s">
        <v>295</v>
      </c>
      <c r="D120" s="8" t="s">
        <v>298</v>
      </c>
      <c r="E120" s="11">
        <v>8000000</v>
      </c>
      <c r="F120" s="11">
        <v>10000000</v>
      </c>
      <c r="G120" s="8" t="s">
        <v>371</v>
      </c>
      <c r="H120" s="8"/>
      <c r="I120" s="8"/>
      <c r="J120" s="8" t="s">
        <v>299</v>
      </c>
      <c r="K120" s="8" t="s">
        <v>72</v>
      </c>
    </row>
    <row r="121" spans="1:11" ht="90" x14ac:dyDescent="0.3">
      <c r="A121" s="8">
        <f>IF(C121="","",SUBTOTAL(103,$C$2:C121))</f>
        <v>120</v>
      </c>
      <c r="B121" s="8"/>
      <c r="C121" s="8" t="s">
        <v>295</v>
      </c>
      <c r="D121" s="8" t="s">
        <v>300</v>
      </c>
      <c r="E121" s="11">
        <v>8000000</v>
      </c>
      <c r="F121" s="11">
        <v>10000000</v>
      </c>
      <c r="G121" s="8" t="s">
        <v>371</v>
      </c>
      <c r="H121" s="8"/>
      <c r="I121" s="8"/>
      <c r="J121" s="8" t="s">
        <v>301</v>
      </c>
      <c r="K121" s="8" t="s">
        <v>72</v>
      </c>
    </row>
    <row r="122" spans="1:11" ht="90" x14ac:dyDescent="0.3">
      <c r="A122" s="8">
        <f>IF(C122="","",SUBTOTAL(103,$C$2:C122))</f>
        <v>121</v>
      </c>
      <c r="B122" s="8"/>
      <c r="C122" s="8" t="s">
        <v>295</v>
      </c>
      <c r="D122" s="8" t="s">
        <v>302</v>
      </c>
      <c r="E122" s="11">
        <v>20000000</v>
      </c>
      <c r="F122" s="11">
        <v>25000000</v>
      </c>
      <c r="G122" s="8" t="s">
        <v>370</v>
      </c>
      <c r="H122" s="8"/>
      <c r="I122" s="8" t="s">
        <v>308</v>
      </c>
      <c r="J122" s="8" t="s">
        <v>381</v>
      </c>
      <c r="K122" s="8" t="s">
        <v>72</v>
      </c>
    </row>
    <row r="123" spans="1:11" ht="144" x14ac:dyDescent="0.3">
      <c r="A123" s="8">
        <f>IF(C123="","",SUBTOTAL(103,$C$2:C123))</f>
        <v>122</v>
      </c>
      <c r="B123" s="8"/>
      <c r="C123" s="8" t="s">
        <v>295</v>
      </c>
      <c r="D123" s="8" t="s">
        <v>303</v>
      </c>
      <c r="E123" s="11">
        <v>30000000</v>
      </c>
      <c r="F123" s="11">
        <v>40000000</v>
      </c>
      <c r="G123" s="8" t="s">
        <v>370</v>
      </c>
      <c r="H123" s="8"/>
      <c r="I123" s="8" t="s">
        <v>307</v>
      </c>
      <c r="J123" s="8" t="s">
        <v>382</v>
      </c>
      <c r="K123" s="10"/>
    </row>
    <row r="124" spans="1:11" ht="36" x14ac:dyDescent="0.3">
      <c r="A124" s="8">
        <f>IF(C124="","",SUBTOTAL(103,$C$2:C124))</f>
        <v>123</v>
      </c>
      <c r="B124" s="8"/>
      <c r="C124" s="8" t="s">
        <v>295</v>
      </c>
      <c r="D124" s="8" t="s">
        <v>304</v>
      </c>
      <c r="E124" s="11">
        <v>40000000</v>
      </c>
      <c r="F124" s="11">
        <v>50000000</v>
      </c>
      <c r="G124" s="10" t="s">
        <v>372</v>
      </c>
      <c r="H124" s="8" t="s">
        <v>288</v>
      </c>
      <c r="I124" s="8"/>
      <c r="J124" s="8" t="s">
        <v>305</v>
      </c>
      <c r="K124" s="10"/>
    </row>
    <row r="125" spans="1:11" ht="54" x14ac:dyDescent="0.3">
      <c r="A125" s="8">
        <f>IF(C125="","",SUBTOTAL(103,$C$2:C125))</f>
        <v>124</v>
      </c>
      <c r="B125" s="8"/>
      <c r="C125" s="8" t="s">
        <v>309</v>
      </c>
      <c r="D125" s="8" t="s">
        <v>310</v>
      </c>
      <c r="E125" s="11">
        <v>3000000</v>
      </c>
      <c r="F125" s="11">
        <v>5000000</v>
      </c>
      <c r="G125" s="8" t="s">
        <v>369</v>
      </c>
      <c r="H125" s="8"/>
      <c r="I125" s="8"/>
      <c r="J125" s="8" t="s">
        <v>311</v>
      </c>
      <c r="K125" s="10"/>
    </row>
    <row r="126" spans="1:11" ht="54" x14ac:dyDescent="0.3">
      <c r="A126" s="8">
        <f>IF(C126="","",SUBTOTAL(103,$C$2:C126))</f>
        <v>125</v>
      </c>
      <c r="B126" s="8"/>
      <c r="C126" s="8" t="s">
        <v>309</v>
      </c>
      <c r="D126" s="8" t="s">
        <v>312</v>
      </c>
      <c r="E126" s="11">
        <v>3000000</v>
      </c>
      <c r="F126" s="11">
        <v>5000000</v>
      </c>
      <c r="G126" s="8" t="s">
        <v>369</v>
      </c>
      <c r="H126" s="8"/>
      <c r="I126" s="8"/>
      <c r="J126" s="8" t="s">
        <v>314</v>
      </c>
      <c r="K126" s="10"/>
    </row>
    <row r="127" spans="1:11" ht="54" x14ac:dyDescent="0.3">
      <c r="A127" s="8">
        <f>IF(C127="","",SUBTOTAL(103,$C$2:C127))</f>
        <v>126</v>
      </c>
      <c r="B127" s="8"/>
      <c r="C127" s="8" t="s">
        <v>309</v>
      </c>
      <c r="D127" s="8" t="s">
        <v>313</v>
      </c>
      <c r="E127" s="11">
        <v>3000000</v>
      </c>
      <c r="F127" s="11">
        <v>5000000</v>
      </c>
      <c r="G127" s="8" t="s">
        <v>369</v>
      </c>
      <c r="H127" s="8"/>
      <c r="I127" s="8"/>
      <c r="J127" s="8" t="s">
        <v>315</v>
      </c>
      <c r="K127" s="10"/>
    </row>
    <row r="128" spans="1:11" ht="54" x14ac:dyDescent="0.3">
      <c r="A128" s="8">
        <f>IF(C128="","",SUBTOTAL(103,$C$2:C128))</f>
        <v>127</v>
      </c>
      <c r="B128" s="8"/>
      <c r="C128" s="8" t="s">
        <v>309</v>
      </c>
      <c r="D128" s="8" t="s">
        <v>316</v>
      </c>
      <c r="E128" s="11">
        <v>5000000</v>
      </c>
      <c r="F128" s="11">
        <v>10000000</v>
      </c>
      <c r="G128" s="8" t="s">
        <v>371</v>
      </c>
      <c r="H128" s="8"/>
      <c r="I128" s="8"/>
      <c r="J128" s="8" t="s">
        <v>317</v>
      </c>
      <c r="K128" s="10"/>
    </row>
    <row r="129" spans="1:11" ht="72" x14ac:dyDescent="0.3">
      <c r="A129" s="8">
        <f>IF(C129="","",SUBTOTAL(103,$C$2:C129))</f>
        <v>128</v>
      </c>
      <c r="B129" s="8"/>
      <c r="C129" s="8" t="s">
        <v>309</v>
      </c>
      <c r="D129" s="8" t="s">
        <v>318</v>
      </c>
      <c r="E129" s="11">
        <v>5000000</v>
      </c>
      <c r="F129" s="11">
        <v>10000000</v>
      </c>
      <c r="G129" s="8" t="s">
        <v>371</v>
      </c>
      <c r="H129" s="8"/>
      <c r="I129" s="8"/>
      <c r="J129" s="8" t="s">
        <v>319</v>
      </c>
      <c r="K129" s="10"/>
    </row>
    <row r="130" spans="1:11" ht="54" x14ac:dyDescent="0.3">
      <c r="A130" s="8">
        <f>IF(C130="","",SUBTOTAL(103,$C$2:C130))</f>
        <v>129</v>
      </c>
      <c r="B130" s="8"/>
      <c r="C130" s="8" t="s">
        <v>309</v>
      </c>
      <c r="D130" s="8" t="s">
        <v>320</v>
      </c>
      <c r="E130" s="11">
        <v>10000000</v>
      </c>
      <c r="F130" s="11">
        <v>15000000</v>
      </c>
      <c r="G130" s="8" t="s">
        <v>371</v>
      </c>
      <c r="H130" s="8"/>
      <c r="I130" s="8"/>
      <c r="J130" s="8" t="s">
        <v>321</v>
      </c>
      <c r="K130" s="10"/>
    </row>
    <row r="131" spans="1:11" ht="54" x14ac:dyDescent="0.3">
      <c r="A131" s="8">
        <f>IF(C131="","",SUBTOTAL(103,$C$2:C131))</f>
        <v>130</v>
      </c>
      <c r="B131" s="8"/>
      <c r="C131" s="8" t="s">
        <v>309</v>
      </c>
      <c r="D131" s="8" t="s">
        <v>322</v>
      </c>
      <c r="E131" s="11">
        <v>10000000</v>
      </c>
      <c r="F131" s="11">
        <v>15000000</v>
      </c>
      <c r="G131" s="8" t="s">
        <v>371</v>
      </c>
      <c r="H131" s="8"/>
      <c r="I131" s="8"/>
      <c r="J131" s="8" t="s">
        <v>323</v>
      </c>
      <c r="K131" s="10"/>
    </row>
    <row r="132" spans="1:11" ht="54" x14ac:dyDescent="0.3">
      <c r="A132" s="8">
        <f>IF(C132="","",SUBTOTAL(103,$C$2:C132))</f>
        <v>131</v>
      </c>
      <c r="B132" s="8"/>
      <c r="C132" s="8" t="s">
        <v>309</v>
      </c>
      <c r="D132" s="8" t="s">
        <v>324</v>
      </c>
      <c r="E132" s="11">
        <v>15000000</v>
      </c>
      <c r="F132" s="11">
        <v>20000000</v>
      </c>
      <c r="G132" s="8" t="s">
        <v>370</v>
      </c>
      <c r="H132" s="8"/>
      <c r="I132" s="8"/>
      <c r="J132" s="8" t="s">
        <v>325</v>
      </c>
      <c r="K132" s="10"/>
    </row>
    <row r="133" spans="1:11" ht="54" x14ac:dyDescent="0.3">
      <c r="A133" s="8">
        <f>IF(C133="","",SUBTOTAL(103,$C$2:C133))</f>
        <v>132</v>
      </c>
      <c r="B133" s="8"/>
      <c r="C133" s="8" t="s">
        <v>309</v>
      </c>
      <c r="D133" s="8" t="s">
        <v>326</v>
      </c>
      <c r="E133" s="11">
        <v>20000000</v>
      </c>
      <c r="F133" s="11">
        <v>25000000</v>
      </c>
      <c r="G133" s="8" t="s">
        <v>370</v>
      </c>
      <c r="H133" s="8"/>
      <c r="I133" s="8"/>
      <c r="J133" s="8" t="s">
        <v>327</v>
      </c>
      <c r="K133" s="10"/>
    </row>
    <row r="134" spans="1:11" ht="36" x14ac:dyDescent="0.3">
      <c r="A134" s="8">
        <f>IF(C134="","",SUBTOTAL(103,$C$2:C134))</f>
        <v>133</v>
      </c>
      <c r="B134" s="8"/>
      <c r="C134" s="8" t="s">
        <v>328</v>
      </c>
      <c r="D134" s="8" t="s">
        <v>329</v>
      </c>
      <c r="E134" s="11">
        <v>500000</v>
      </c>
      <c r="F134" s="11">
        <v>1000000</v>
      </c>
      <c r="G134" s="8" t="s">
        <v>369</v>
      </c>
      <c r="H134" s="8"/>
      <c r="I134" s="8"/>
      <c r="J134" s="8" t="s">
        <v>330</v>
      </c>
      <c r="K134" s="10"/>
    </row>
    <row r="135" spans="1:11" ht="54" x14ac:dyDescent="0.3">
      <c r="A135" s="8">
        <f>IF(C135="","",SUBTOTAL(103,$C$2:C135))</f>
        <v>134</v>
      </c>
      <c r="B135" s="8"/>
      <c r="C135" s="8" t="s">
        <v>328</v>
      </c>
      <c r="D135" s="8" t="s">
        <v>331</v>
      </c>
      <c r="E135" s="11">
        <v>3000000</v>
      </c>
      <c r="F135" s="11">
        <v>5000000</v>
      </c>
      <c r="G135" s="8" t="s">
        <v>369</v>
      </c>
      <c r="H135" s="8"/>
      <c r="I135" s="8"/>
      <c r="J135" s="8" t="s">
        <v>333</v>
      </c>
      <c r="K135" s="10"/>
    </row>
    <row r="136" spans="1:11" ht="54" x14ac:dyDescent="0.3">
      <c r="A136" s="8">
        <f>IF(C136="","",SUBTOTAL(103,$C$2:C136))</f>
        <v>135</v>
      </c>
      <c r="B136" s="8"/>
      <c r="C136" s="8" t="s">
        <v>328</v>
      </c>
      <c r="D136" s="8" t="s">
        <v>332</v>
      </c>
      <c r="E136" s="11">
        <v>3000000</v>
      </c>
      <c r="F136" s="11">
        <v>5000000</v>
      </c>
      <c r="G136" s="8" t="s">
        <v>369</v>
      </c>
      <c r="H136" s="8"/>
      <c r="I136" s="8"/>
      <c r="J136" s="8" t="s">
        <v>334</v>
      </c>
      <c r="K136" s="10"/>
    </row>
    <row r="137" spans="1:11" ht="36" x14ac:dyDescent="0.3">
      <c r="A137" s="8">
        <f>IF(C137="","",SUBTOTAL(103,$C$2:C137))</f>
        <v>136</v>
      </c>
      <c r="B137" s="8"/>
      <c r="C137" s="8" t="s">
        <v>328</v>
      </c>
      <c r="D137" s="8" t="s">
        <v>335</v>
      </c>
      <c r="E137" s="11">
        <v>5000000</v>
      </c>
      <c r="F137" s="11">
        <v>10000000</v>
      </c>
      <c r="G137" s="8" t="s">
        <v>371</v>
      </c>
      <c r="H137" s="8"/>
      <c r="I137" s="8"/>
      <c r="J137" s="8" t="s">
        <v>336</v>
      </c>
      <c r="K137" s="10"/>
    </row>
    <row r="138" spans="1:11" ht="54" x14ac:dyDescent="0.3">
      <c r="A138" s="8">
        <f>IF(C138="","",SUBTOTAL(103,$C$2:C138))</f>
        <v>137</v>
      </c>
      <c r="B138" s="8"/>
      <c r="C138" s="8" t="s">
        <v>328</v>
      </c>
      <c r="D138" s="8" t="s">
        <v>337</v>
      </c>
      <c r="E138" s="11">
        <v>10000000</v>
      </c>
      <c r="F138" s="11">
        <v>15000000</v>
      </c>
      <c r="G138" s="8" t="s">
        <v>371</v>
      </c>
      <c r="H138" s="8"/>
      <c r="I138" s="8"/>
      <c r="J138" s="8" t="s">
        <v>338</v>
      </c>
      <c r="K138" s="10"/>
    </row>
    <row r="139" spans="1:11" ht="54" x14ac:dyDescent="0.3">
      <c r="A139" s="8">
        <f>IF(C139="","",SUBTOTAL(103,$C$2:C139))</f>
        <v>138</v>
      </c>
      <c r="B139" s="8"/>
      <c r="C139" s="8" t="s">
        <v>328</v>
      </c>
      <c r="D139" s="8" t="s">
        <v>339</v>
      </c>
      <c r="E139" s="11">
        <v>10000000</v>
      </c>
      <c r="F139" s="11">
        <v>15000000</v>
      </c>
      <c r="G139" s="8" t="s">
        <v>371</v>
      </c>
      <c r="H139" s="8"/>
      <c r="I139" s="8"/>
      <c r="J139" s="8" t="s">
        <v>341</v>
      </c>
      <c r="K139" s="10"/>
    </row>
    <row r="140" spans="1:11" ht="54" x14ac:dyDescent="0.3">
      <c r="A140" s="8">
        <f>IF(C140="","",SUBTOTAL(103,$C$2:C140))</f>
        <v>139</v>
      </c>
      <c r="B140" s="8"/>
      <c r="C140" s="8" t="s">
        <v>328</v>
      </c>
      <c r="D140" s="8" t="s">
        <v>340</v>
      </c>
      <c r="E140" s="11">
        <v>10000000</v>
      </c>
      <c r="F140" s="11">
        <v>15000000</v>
      </c>
      <c r="G140" s="8" t="s">
        <v>371</v>
      </c>
      <c r="H140" s="8"/>
      <c r="I140" s="8"/>
      <c r="J140" s="8" t="s">
        <v>342</v>
      </c>
      <c r="K140" s="10"/>
    </row>
    <row r="141" spans="1:11" ht="54" x14ac:dyDescent="0.3">
      <c r="A141" s="8">
        <f>IF(C141="","",SUBTOTAL(103,$C$2:C141))</f>
        <v>140</v>
      </c>
      <c r="B141" s="8"/>
      <c r="C141" s="8" t="s">
        <v>328</v>
      </c>
      <c r="D141" s="8" t="s">
        <v>343</v>
      </c>
      <c r="E141" s="11">
        <v>15000000</v>
      </c>
      <c r="F141" s="11">
        <v>20000000</v>
      </c>
      <c r="G141" s="8" t="s">
        <v>370</v>
      </c>
      <c r="H141" s="8"/>
      <c r="I141" s="8"/>
      <c r="J141" s="8" t="s">
        <v>344</v>
      </c>
      <c r="K141" s="10"/>
    </row>
    <row r="142" spans="1:11" ht="54" x14ac:dyDescent="0.3">
      <c r="A142" s="8">
        <f>IF(C142="","",SUBTOTAL(103,$C$2:C142))</f>
        <v>141</v>
      </c>
      <c r="B142" s="8"/>
      <c r="C142" s="8" t="s">
        <v>328</v>
      </c>
      <c r="D142" s="8" t="s">
        <v>345</v>
      </c>
      <c r="E142" s="11">
        <v>15000000</v>
      </c>
      <c r="F142" s="11">
        <v>20000000</v>
      </c>
      <c r="G142" s="8" t="s">
        <v>370</v>
      </c>
      <c r="H142" s="8"/>
      <c r="I142" s="8"/>
      <c r="J142" s="8" t="s">
        <v>346</v>
      </c>
      <c r="K142" s="10"/>
    </row>
    <row r="143" spans="1:11" ht="72" x14ac:dyDescent="0.3">
      <c r="A143" s="8">
        <f>IF(C143="","",SUBTOTAL(103,$C$2:C143))</f>
        <v>142</v>
      </c>
      <c r="B143" s="8"/>
      <c r="C143" s="8" t="s">
        <v>328</v>
      </c>
      <c r="D143" s="8" t="s">
        <v>347</v>
      </c>
      <c r="E143" s="11">
        <v>30000000</v>
      </c>
      <c r="F143" s="11">
        <v>40000000</v>
      </c>
      <c r="G143" s="8" t="s">
        <v>370</v>
      </c>
      <c r="H143" s="8"/>
      <c r="I143" s="8" t="s">
        <v>349</v>
      </c>
      <c r="J143" s="8" t="s">
        <v>348</v>
      </c>
      <c r="K143" s="10"/>
    </row>
    <row r="144" spans="1:11" ht="54" x14ac:dyDescent="0.3">
      <c r="A144" s="8">
        <f>IF(C144="","",SUBTOTAL(103,$C$2:C144))</f>
        <v>143</v>
      </c>
      <c r="B144" s="8"/>
      <c r="C144" s="8" t="s">
        <v>350</v>
      </c>
      <c r="D144" s="8" t="s">
        <v>351</v>
      </c>
      <c r="E144" s="11">
        <v>500000</v>
      </c>
      <c r="F144" s="11">
        <v>1000000</v>
      </c>
      <c r="G144" s="8" t="s">
        <v>369</v>
      </c>
      <c r="H144" s="8"/>
      <c r="I144" s="8"/>
      <c r="J144" s="8" t="s">
        <v>352</v>
      </c>
      <c r="K144" s="10"/>
    </row>
    <row r="145" spans="1:11" ht="108" x14ac:dyDescent="0.3">
      <c r="A145" s="8">
        <f>IF(C145="","",SUBTOTAL(103,$C$2:C145))</f>
        <v>144</v>
      </c>
      <c r="B145" s="8"/>
      <c r="C145" s="8" t="s">
        <v>350</v>
      </c>
      <c r="D145" s="8" t="s">
        <v>353</v>
      </c>
      <c r="E145" s="11">
        <v>500000</v>
      </c>
      <c r="F145" s="11">
        <v>1000000</v>
      </c>
      <c r="G145" s="8" t="s">
        <v>369</v>
      </c>
      <c r="H145" s="8"/>
      <c r="I145" s="8"/>
      <c r="J145" s="8" t="s">
        <v>354</v>
      </c>
      <c r="K145" s="10"/>
    </row>
    <row r="146" spans="1:11" ht="72" x14ac:dyDescent="0.3">
      <c r="A146" s="8">
        <f>IF(C146="","",SUBTOTAL(103,$C$2:C146))</f>
        <v>145</v>
      </c>
      <c r="B146" s="8"/>
      <c r="C146" s="8" t="s">
        <v>350</v>
      </c>
      <c r="D146" s="8" t="s">
        <v>355</v>
      </c>
      <c r="E146" s="11">
        <v>1000000</v>
      </c>
      <c r="F146" s="11">
        <v>3000000</v>
      </c>
      <c r="G146" s="8" t="s">
        <v>369</v>
      </c>
      <c r="H146" s="8"/>
      <c r="I146" s="8"/>
      <c r="J146" s="8" t="s">
        <v>356</v>
      </c>
      <c r="K146" s="10"/>
    </row>
    <row r="147" spans="1:11" ht="72" x14ac:dyDescent="0.3">
      <c r="A147" s="8">
        <f>IF(C147="","",SUBTOTAL(103,$C$2:C147))</f>
        <v>146</v>
      </c>
      <c r="B147" s="8"/>
      <c r="C147" s="8" t="s">
        <v>350</v>
      </c>
      <c r="D147" s="8" t="s">
        <v>357</v>
      </c>
      <c r="E147" s="11">
        <v>1000000</v>
      </c>
      <c r="F147" s="11">
        <v>3000000</v>
      </c>
      <c r="G147" s="8" t="s">
        <v>369</v>
      </c>
      <c r="H147" s="8"/>
      <c r="I147" s="8"/>
      <c r="J147" s="8" t="s">
        <v>358</v>
      </c>
      <c r="K147" s="10"/>
    </row>
    <row r="148" spans="1:11" ht="108" x14ac:dyDescent="0.3">
      <c r="A148" s="8">
        <f>IF(C148="","",SUBTOTAL(103,$C$2:C148))</f>
        <v>147</v>
      </c>
      <c r="B148" s="8"/>
      <c r="C148" s="8" t="s">
        <v>350</v>
      </c>
      <c r="D148" s="8" t="s">
        <v>359</v>
      </c>
      <c r="E148" s="11">
        <v>3000000</v>
      </c>
      <c r="F148" s="11">
        <v>5000000</v>
      </c>
      <c r="G148" s="8" t="s">
        <v>369</v>
      </c>
      <c r="H148" s="8"/>
      <c r="I148" s="8"/>
      <c r="J148" s="8" t="s">
        <v>360</v>
      </c>
      <c r="K148" s="10"/>
    </row>
    <row r="149" spans="1:11" ht="54" x14ac:dyDescent="0.3">
      <c r="A149" s="8">
        <f>IF(C149="","",SUBTOTAL(103,$C$2:C149))</f>
        <v>148</v>
      </c>
      <c r="B149" s="8"/>
      <c r="C149" s="8" t="s">
        <v>350</v>
      </c>
      <c r="D149" s="8" t="s">
        <v>361</v>
      </c>
      <c r="E149" s="11">
        <v>5000000</v>
      </c>
      <c r="F149" s="11">
        <v>10000000</v>
      </c>
      <c r="G149" s="8" t="s">
        <v>371</v>
      </c>
      <c r="H149" s="8"/>
      <c r="I149" s="8"/>
      <c r="J149" s="8" t="s">
        <v>362</v>
      </c>
      <c r="K149" s="10"/>
    </row>
    <row r="150" spans="1:11" ht="72" x14ac:dyDescent="0.3">
      <c r="A150" s="8">
        <f>IF(C150="","",SUBTOTAL(103,$C$2:C150))</f>
        <v>149</v>
      </c>
      <c r="B150" s="8"/>
      <c r="C150" s="8" t="s">
        <v>350</v>
      </c>
      <c r="D150" s="8" t="s">
        <v>363</v>
      </c>
      <c r="E150" s="11">
        <v>10000000</v>
      </c>
      <c r="F150" s="11">
        <v>15000000</v>
      </c>
      <c r="G150" s="8" t="s">
        <v>371</v>
      </c>
      <c r="H150" s="8"/>
      <c r="I150" s="8"/>
      <c r="J150" s="8" t="s">
        <v>364</v>
      </c>
      <c r="K150" s="10"/>
    </row>
    <row r="151" spans="1:11" ht="54" x14ac:dyDescent="0.3">
      <c r="A151" s="8">
        <f>IF(C151="","",SUBTOTAL(103,$C$2:C151))</f>
        <v>150</v>
      </c>
      <c r="B151" s="8"/>
      <c r="C151" s="8" t="s">
        <v>350</v>
      </c>
      <c r="D151" s="8" t="s">
        <v>365</v>
      </c>
      <c r="E151" s="11">
        <v>20000000</v>
      </c>
      <c r="F151" s="11">
        <v>30000000</v>
      </c>
      <c r="G151" s="8" t="s">
        <v>370</v>
      </c>
      <c r="H151" s="8"/>
      <c r="I151" s="8"/>
      <c r="J151" s="8" t="s">
        <v>366</v>
      </c>
      <c r="K151" s="10"/>
    </row>
    <row r="152" spans="1:11" ht="54" x14ac:dyDescent="0.3">
      <c r="A152" s="8">
        <f>IF(C152="","",SUBTOTAL(103,$C$2:C152))</f>
        <v>151</v>
      </c>
      <c r="B152" s="8"/>
      <c r="C152" s="8" t="s">
        <v>350</v>
      </c>
      <c r="D152" s="8" t="s">
        <v>367</v>
      </c>
      <c r="E152" s="11">
        <v>20000000</v>
      </c>
      <c r="F152" s="11">
        <v>30000000</v>
      </c>
      <c r="G152" s="8" t="s">
        <v>370</v>
      </c>
      <c r="H152" s="8"/>
      <c r="I152" s="8"/>
      <c r="J152" s="8" t="s">
        <v>368</v>
      </c>
      <c r="K152" s="10"/>
    </row>
  </sheetData>
  <autoFilter ref="A1:K152" xr:uid="{00000000-0001-0000-0000-000000000000}"/>
  <printOptions horizontalCentered="1"/>
  <pageMargins left="0.2" right="0.2" top="0.75" bottom="0.75" header="0.3" footer="0.3"/>
  <pageSetup paperSize="9" scale="47"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NĐ106 &amp; NĐ69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LeeMinNguyen</dc:creator>
  <cp:lastModifiedBy>Nguyễn Nguyên</cp:lastModifiedBy>
  <cp:lastPrinted>2026-04-08T16:02:39Z</cp:lastPrinted>
  <dcterms:created xsi:type="dcterms:W3CDTF">2015-06-05T18:17:20Z</dcterms:created>
  <dcterms:modified xsi:type="dcterms:W3CDTF">2026-04-08T16:19:29Z</dcterms:modified>
</cp:coreProperties>
</file>